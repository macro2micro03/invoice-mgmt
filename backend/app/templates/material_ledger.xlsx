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bookViews>
    <workbookView xWindow="3816" yWindow="1692" windowWidth="17280" windowHeight="8880" activeTab="1"/>
  </bookViews>
  <sheets>
    <sheet name="커플러" sheetId="32" r:id="rId1"/>
    <sheet name="철근" sheetId="20" r:id="rId2"/>
  </sheets>
  <definedNames>
    <definedName name="_xlnm._FilterDatabase" localSheetId="1" hidden="1">철근!$B$5:$R$574</definedName>
    <definedName name="_xlnm.Print_Area" localSheetId="1">철근!$A$1:$R$19</definedName>
    <definedName name="_xlnm.Print_Area" localSheetId="0">커플러!$B$2:$R$70</definedName>
    <definedName name="_xlnm.Print_Titles" localSheetId="1">철근!$B:$S,철근!$2:$6</definedName>
    <definedName name="_xlnm.Print_Titles" localSheetId="0">커플러!$B:$S,커플러!$2:$6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96" i="20" l="1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M389" i="20"/>
  <c r="M390" i="20"/>
  <c r="M391" i="20"/>
  <c r="M392" i="20"/>
  <c r="M393" i="20"/>
  <c r="M394" i="20"/>
  <c r="M395" i="20"/>
  <c r="M396" i="20"/>
  <c r="M375" i="20"/>
  <c r="M376" i="20"/>
  <c r="M377" i="20"/>
  <c r="M378" i="20"/>
  <c r="M379" i="20"/>
  <c r="M380" i="20"/>
  <c r="M381" i="20"/>
  <c r="M382" i="20"/>
  <c r="M383" i="20"/>
  <c r="M384" i="20"/>
  <c r="M385" i="20"/>
  <c r="H12" i="20"/>
  <c r="H13" i="20"/>
  <c r="H14" i="20"/>
  <c r="I12" i="20"/>
  <c r="L7" i="20" l="1"/>
  <c r="L8" i="20"/>
  <c r="L574" i="20" l="1"/>
  <c r="M574" i="20"/>
  <c r="L573" i="20"/>
  <c r="M573" i="20"/>
  <c r="F573" i="20"/>
  <c r="L572" i="20"/>
  <c r="M572" i="20"/>
  <c r="F572" i="20"/>
  <c r="F568" i="20"/>
  <c r="M571" i="20"/>
  <c r="L571" i="20"/>
  <c r="H571" i="20"/>
  <c r="F571" i="20"/>
  <c r="M570" i="20"/>
  <c r="L570" i="20"/>
  <c r="H570" i="20"/>
  <c r="F570" i="20"/>
  <c r="L569" i="20"/>
  <c r="M569" i="20"/>
  <c r="L568" i="20"/>
  <c r="M567" i="20"/>
  <c r="L567" i="20"/>
  <c r="H567" i="20"/>
  <c r="F567" i="20"/>
  <c r="M566" i="20"/>
  <c r="L566" i="20"/>
  <c r="H566" i="20"/>
  <c r="F566" i="20"/>
  <c r="M565" i="20"/>
  <c r="L565" i="20"/>
  <c r="H565" i="20"/>
  <c r="F565" i="20"/>
  <c r="L564" i="20"/>
  <c r="M564" i="20"/>
  <c r="M563" i="20"/>
  <c r="L563" i="20"/>
  <c r="H563" i="20"/>
  <c r="F563" i="20"/>
  <c r="M562" i="20"/>
  <c r="L562" i="20"/>
  <c r="H562" i="20"/>
  <c r="F562" i="20"/>
  <c r="M561" i="20"/>
  <c r="L561" i="20"/>
  <c r="H561" i="20"/>
  <c r="F561" i="20"/>
  <c r="M560" i="20"/>
  <c r="L560" i="20"/>
  <c r="H560" i="20"/>
  <c r="F560" i="20"/>
  <c r="M97" i="32"/>
  <c r="L97" i="32"/>
  <c r="H97" i="32"/>
  <c r="I97" i="32" s="1"/>
  <c r="F97" i="32"/>
  <c r="L559" i="20"/>
  <c r="H559" i="20"/>
  <c r="L558" i="20"/>
  <c r="M558" i="20"/>
  <c r="L557" i="20"/>
  <c r="H557" i="20"/>
  <c r="L556" i="20"/>
  <c r="M556" i="20"/>
  <c r="H555" i="20"/>
  <c r="H554" i="20"/>
  <c r="L555" i="20"/>
  <c r="M554" i="20"/>
  <c r="L554" i="20"/>
  <c r="F554" i="20"/>
  <c r="M553" i="20"/>
  <c r="L553" i="20"/>
  <c r="H553" i="20"/>
  <c r="F553" i="20"/>
  <c r="M552" i="20"/>
  <c r="L552" i="20"/>
  <c r="H552" i="20"/>
  <c r="F552" i="20"/>
  <c r="M96" i="32"/>
  <c r="L96" i="32"/>
  <c r="H96" i="32"/>
  <c r="I96" i="32" s="1"/>
  <c r="F96" i="32"/>
  <c r="M551" i="20"/>
  <c r="L551" i="20"/>
  <c r="H551" i="20"/>
  <c r="F551" i="20"/>
  <c r="L550" i="20"/>
  <c r="M550" i="20"/>
  <c r="M549" i="20"/>
  <c r="L549" i="20"/>
  <c r="H549" i="20"/>
  <c r="M545" i="20"/>
  <c r="H543" i="20"/>
  <c r="M542" i="20"/>
  <c r="M548" i="20"/>
  <c r="L548" i="20"/>
  <c r="H548" i="20"/>
  <c r="F548" i="20"/>
  <c r="M547" i="20"/>
  <c r="L547" i="20"/>
  <c r="H547" i="20"/>
  <c r="F547" i="20"/>
  <c r="M546" i="20"/>
  <c r="L546" i="20"/>
  <c r="H546" i="20"/>
  <c r="F546" i="20"/>
  <c r="L545" i="20"/>
  <c r="M544" i="20"/>
  <c r="L544" i="20"/>
  <c r="H544" i="20"/>
  <c r="F544" i="20"/>
  <c r="L543" i="20"/>
  <c r="L542" i="20"/>
  <c r="M538" i="20"/>
  <c r="M541" i="20"/>
  <c r="L541" i="20"/>
  <c r="H541" i="20"/>
  <c r="F541" i="20"/>
  <c r="M540" i="20"/>
  <c r="L540" i="20"/>
  <c r="H540" i="20"/>
  <c r="F540" i="20"/>
  <c r="M539" i="20"/>
  <c r="L539" i="20"/>
  <c r="H539" i="20"/>
  <c r="F539" i="20"/>
  <c r="L538" i="20"/>
  <c r="M537" i="20"/>
  <c r="L537" i="20"/>
  <c r="H537" i="20"/>
  <c r="F537" i="20"/>
  <c r="M536" i="20"/>
  <c r="L536" i="20"/>
  <c r="H536" i="20"/>
  <c r="F536" i="20"/>
  <c r="M535" i="20"/>
  <c r="L535" i="20"/>
  <c r="H535" i="20"/>
  <c r="F535" i="20"/>
  <c r="M534" i="20"/>
  <c r="L534" i="20"/>
  <c r="H534" i="20"/>
  <c r="F534" i="20"/>
  <c r="M533" i="20"/>
  <c r="L533" i="20"/>
  <c r="H533" i="20"/>
  <c r="F533" i="20"/>
  <c r="M532" i="20"/>
  <c r="L532" i="20"/>
  <c r="H532" i="20"/>
  <c r="F532" i="20"/>
  <c r="M531" i="20"/>
  <c r="L531" i="20"/>
  <c r="H531" i="20"/>
  <c r="F531" i="20"/>
  <c r="M530" i="20"/>
  <c r="L530" i="20"/>
  <c r="H530" i="20"/>
  <c r="F530" i="20"/>
  <c r="M529" i="20"/>
  <c r="L529" i="20"/>
  <c r="H529" i="20"/>
  <c r="F529" i="20"/>
  <c r="M528" i="20"/>
  <c r="L528" i="20"/>
  <c r="H528" i="20"/>
  <c r="F528" i="20"/>
  <c r="M527" i="20"/>
  <c r="L527" i="20"/>
  <c r="H527" i="20"/>
  <c r="F527" i="20"/>
  <c r="M526" i="20"/>
  <c r="L526" i="20"/>
  <c r="H526" i="20"/>
  <c r="F526" i="20"/>
  <c r="M525" i="20"/>
  <c r="L525" i="20"/>
  <c r="H525" i="20"/>
  <c r="F525" i="20"/>
  <c r="M524" i="20"/>
  <c r="L524" i="20"/>
  <c r="H524" i="20"/>
  <c r="F524" i="20"/>
  <c r="M95" i="32"/>
  <c r="L95" i="32"/>
  <c r="H95" i="32"/>
  <c r="I95" i="32" s="1"/>
  <c r="F95" i="32"/>
  <c r="M523" i="20"/>
  <c r="L523" i="20"/>
  <c r="H523" i="20"/>
  <c r="F523" i="20"/>
  <c r="M522" i="20"/>
  <c r="L522" i="20"/>
  <c r="H522" i="20"/>
  <c r="F522" i="20"/>
  <c r="M521" i="20"/>
  <c r="L521" i="20"/>
  <c r="H521" i="20"/>
  <c r="F521" i="20"/>
  <c r="F574" i="20" l="1"/>
  <c r="H573" i="20"/>
  <c r="H572" i="20"/>
  <c r="H574" i="20"/>
  <c r="H569" i="20"/>
  <c r="H568" i="20"/>
  <c r="M568" i="20"/>
  <c r="F569" i="20"/>
  <c r="F564" i="20"/>
  <c r="H564" i="20"/>
  <c r="H556" i="20"/>
  <c r="H558" i="20"/>
  <c r="M559" i="20"/>
  <c r="F556" i="20"/>
  <c r="F558" i="20"/>
  <c r="M557" i="20"/>
  <c r="F557" i="20"/>
  <c r="F559" i="20"/>
  <c r="M555" i="20"/>
  <c r="F555" i="20"/>
  <c r="F550" i="20"/>
  <c r="H550" i="20"/>
  <c r="F549" i="20"/>
  <c r="H545" i="20"/>
  <c r="F545" i="20"/>
  <c r="M543" i="20"/>
  <c r="F543" i="20"/>
  <c r="F542" i="20"/>
  <c r="H542" i="20"/>
  <c r="F538" i="20"/>
  <c r="H538" i="20"/>
  <c r="M520" i="20"/>
  <c r="L520" i="20"/>
  <c r="H520" i="20"/>
  <c r="F520" i="20"/>
  <c r="M519" i="20"/>
  <c r="L519" i="20"/>
  <c r="H519" i="20"/>
  <c r="F519" i="20"/>
  <c r="M518" i="20"/>
  <c r="L518" i="20"/>
  <c r="H518" i="20"/>
  <c r="F518" i="20"/>
  <c r="M517" i="20"/>
  <c r="L517" i="20"/>
  <c r="H517" i="20"/>
  <c r="F517" i="20"/>
  <c r="M516" i="20"/>
  <c r="L516" i="20"/>
  <c r="H516" i="20"/>
  <c r="F516" i="20"/>
  <c r="M515" i="20"/>
  <c r="L515" i="20"/>
  <c r="H515" i="20"/>
  <c r="F515" i="20"/>
  <c r="M514" i="20"/>
  <c r="L514" i="20"/>
  <c r="H514" i="20"/>
  <c r="F514" i="20"/>
  <c r="M513" i="20"/>
  <c r="L513" i="20"/>
  <c r="H513" i="20"/>
  <c r="F513" i="20"/>
  <c r="M512" i="20"/>
  <c r="L512" i="20"/>
  <c r="H512" i="20"/>
  <c r="F512" i="20"/>
  <c r="M511" i="20"/>
  <c r="L511" i="20"/>
  <c r="H511" i="20"/>
  <c r="F511" i="20"/>
  <c r="M510" i="20"/>
  <c r="L510" i="20"/>
  <c r="H510" i="20"/>
  <c r="F510" i="20"/>
  <c r="M509" i="20"/>
  <c r="L509" i="20"/>
  <c r="H509" i="20"/>
  <c r="F509" i="20"/>
  <c r="M508" i="20"/>
  <c r="L508" i="20"/>
  <c r="H508" i="20"/>
  <c r="F508" i="20"/>
  <c r="M507" i="20"/>
  <c r="L507" i="20"/>
  <c r="H507" i="20"/>
  <c r="F507" i="20"/>
  <c r="M506" i="20"/>
  <c r="L506" i="20"/>
  <c r="H506" i="20"/>
  <c r="F506" i="20"/>
  <c r="M505" i="20"/>
  <c r="L505" i="20"/>
  <c r="H505" i="20"/>
  <c r="F505" i="20"/>
  <c r="M504" i="20"/>
  <c r="L504" i="20"/>
  <c r="H504" i="20"/>
  <c r="F504" i="20"/>
  <c r="L503" i="20"/>
  <c r="M503" i="20"/>
  <c r="M502" i="20"/>
  <c r="L502" i="20"/>
  <c r="H502" i="20"/>
  <c r="F502" i="20"/>
  <c r="L501" i="20"/>
  <c r="M501" i="20"/>
  <c r="F501" i="20"/>
  <c r="F498" i="20"/>
  <c r="H495" i="20"/>
  <c r="M494" i="20"/>
  <c r="M500" i="20"/>
  <c r="L500" i="20"/>
  <c r="H500" i="20"/>
  <c r="F500" i="20"/>
  <c r="M499" i="20"/>
  <c r="L499" i="20"/>
  <c r="H499" i="20"/>
  <c r="F499" i="20"/>
  <c r="M498" i="20"/>
  <c r="L498" i="20"/>
  <c r="H498" i="20"/>
  <c r="M497" i="20"/>
  <c r="L497" i="20"/>
  <c r="H497" i="20"/>
  <c r="F497" i="20"/>
  <c r="M496" i="20"/>
  <c r="L496" i="20"/>
  <c r="H496" i="20"/>
  <c r="F496" i="20"/>
  <c r="M495" i="20"/>
  <c r="L495" i="20"/>
  <c r="L494" i="20"/>
  <c r="M493" i="20"/>
  <c r="L493" i="20"/>
  <c r="H493" i="20"/>
  <c r="F493" i="20"/>
  <c r="M492" i="20"/>
  <c r="L492" i="20"/>
  <c r="H492" i="20"/>
  <c r="F492" i="20"/>
  <c r="M491" i="20"/>
  <c r="L491" i="20"/>
  <c r="H491" i="20"/>
  <c r="F491" i="20"/>
  <c r="M490" i="20"/>
  <c r="L490" i="20"/>
  <c r="H490" i="20"/>
  <c r="F490" i="20"/>
  <c r="M489" i="20"/>
  <c r="L489" i="20"/>
  <c r="H489" i="20"/>
  <c r="F489" i="20"/>
  <c r="M488" i="20"/>
  <c r="L488" i="20"/>
  <c r="H488" i="20"/>
  <c r="F488" i="20"/>
  <c r="L487" i="20"/>
  <c r="M487" i="20"/>
  <c r="F487" i="20"/>
  <c r="M486" i="20"/>
  <c r="L486" i="20"/>
  <c r="H486" i="20"/>
  <c r="L485" i="20"/>
  <c r="M485" i="20"/>
  <c r="F485" i="20"/>
  <c r="F482" i="20"/>
  <c r="H481" i="20"/>
  <c r="M484" i="20"/>
  <c r="L484" i="20"/>
  <c r="H484" i="20"/>
  <c r="F484" i="20"/>
  <c r="M483" i="20"/>
  <c r="L483" i="20"/>
  <c r="H483" i="20"/>
  <c r="F483" i="20"/>
  <c r="L482" i="20"/>
  <c r="M481" i="20"/>
  <c r="L481" i="20"/>
  <c r="F478" i="20"/>
  <c r="M477" i="20"/>
  <c r="M480" i="20"/>
  <c r="L480" i="20"/>
  <c r="H480" i="20"/>
  <c r="F480" i="20"/>
  <c r="M479" i="20"/>
  <c r="L479" i="20"/>
  <c r="H479" i="20"/>
  <c r="F479" i="20"/>
  <c r="M478" i="20"/>
  <c r="L478" i="20"/>
  <c r="H478" i="20"/>
  <c r="L477" i="20"/>
  <c r="M94" i="32"/>
  <c r="L94" i="32"/>
  <c r="H94" i="32"/>
  <c r="F94" i="32"/>
  <c r="M93" i="32"/>
  <c r="L93" i="32"/>
  <c r="H93" i="32"/>
  <c r="I93" i="32" s="1"/>
  <c r="F93" i="32"/>
  <c r="L476" i="20"/>
  <c r="M476" i="20"/>
  <c r="F476" i="20"/>
  <c r="M475" i="20"/>
  <c r="L475" i="20"/>
  <c r="H475" i="20"/>
  <c r="F475" i="20"/>
  <c r="M474" i="20"/>
  <c r="L474" i="20"/>
  <c r="H474" i="20"/>
  <c r="F474" i="20"/>
  <c r="M473" i="20"/>
  <c r="L473" i="20"/>
  <c r="H473" i="20"/>
  <c r="F473" i="20"/>
  <c r="M472" i="20"/>
  <c r="L472" i="20"/>
  <c r="H472" i="20"/>
  <c r="F472" i="20"/>
  <c r="M471" i="20"/>
  <c r="L471" i="20"/>
  <c r="H471" i="20"/>
  <c r="F471" i="20"/>
  <c r="M470" i="20"/>
  <c r="L470" i="20"/>
  <c r="H470" i="20"/>
  <c r="F470" i="20"/>
  <c r="I91" i="32"/>
  <c r="M92" i="32"/>
  <c r="L92" i="32"/>
  <c r="H92" i="32"/>
  <c r="I92" i="32" s="1"/>
  <c r="F92" i="32"/>
  <c r="M91" i="32"/>
  <c r="L91" i="32"/>
  <c r="H91" i="32"/>
  <c r="F91" i="32"/>
  <c r="M469" i="20"/>
  <c r="L469" i="20"/>
  <c r="H469" i="20"/>
  <c r="F469" i="20"/>
  <c r="L468" i="20"/>
  <c r="H468" i="20"/>
  <c r="F468" i="20"/>
  <c r="M467" i="20"/>
  <c r="L467" i="20"/>
  <c r="H467" i="20"/>
  <c r="F467" i="20"/>
  <c r="L466" i="20"/>
  <c r="M466" i="20"/>
  <c r="M465" i="20"/>
  <c r="L465" i="20"/>
  <c r="H465" i="20"/>
  <c r="F465" i="20"/>
  <c r="M464" i="20"/>
  <c r="L464" i="20"/>
  <c r="H464" i="20"/>
  <c r="F464" i="20"/>
  <c r="M463" i="20"/>
  <c r="L463" i="20"/>
  <c r="H463" i="20"/>
  <c r="F463" i="20"/>
  <c r="M462" i="20"/>
  <c r="L462" i="20"/>
  <c r="H462" i="20"/>
  <c r="F462" i="20"/>
  <c r="L461" i="20"/>
  <c r="M461" i="20"/>
  <c r="M460" i="20"/>
  <c r="L460" i="20"/>
  <c r="H460" i="20"/>
  <c r="F460" i="20"/>
  <c r="H457" i="20"/>
  <c r="M456" i="20"/>
  <c r="M459" i="20"/>
  <c r="L459" i="20"/>
  <c r="H459" i="20"/>
  <c r="F459" i="20"/>
  <c r="M458" i="20"/>
  <c r="L458" i="20"/>
  <c r="H458" i="20"/>
  <c r="F458" i="20"/>
  <c r="L457" i="20"/>
  <c r="L456" i="20"/>
  <c r="L455" i="20"/>
  <c r="H455" i="20"/>
  <c r="M90" i="32"/>
  <c r="L90" i="32"/>
  <c r="H90" i="32"/>
  <c r="F90" i="32"/>
  <c r="M89" i="32"/>
  <c r="L89" i="32"/>
  <c r="H89" i="32"/>
  <c r="I89" i="32" s="1"/>
  <c r="F89" i="32"/>
  <c r="M450" i="20"/>
  <c r="M454" i="20"/>
  <c r="L454" i="20"/>
  <c r="H454" i="20"/>
  <c r="F454" i="20"/>
  <c r="M453" i="20"/>
  <c r="L453" i="20"/>
  <c r="H453" i="20"/>
  <c r="F453" i="20"/>
  <c r="M452" i="20"/>
  <c r="L452" i="20"/>
  <c r="H452" i="20"/>
  <c r="F452" i="20"/>
  <c r="M451" i="20"/>
  <c r="L451" i="20"/>
  <c r="H451" i="20"/>
  <c r="F451" i="20"/>
  <c r="L450" i="20"/>
  <c r="M449" i="20"/>
  <c r="L449" i="20"/>
  <c r="H449" i="20"/>
  <c r="F449" i="20"/>
  <c r="M448" i="20"/>
  <c r="L448" i="20"/>
  <c r="H448" i="20"/>
  <c r="F448" i="20"/>
  <c r="M447" i="20"/>
  <c r="L447" i="20"/>
  <c r="H447" i="20"/>
  <c r="F447" i="20"/>
  <c r="H503" i="20" l="1"/>
  <c r="F503" i="20"/>
  <c r="H501" i="20"/>
  <c r="F495" i="20"/>
  <c r="F494" i="20"/>
  <c r="H494" i="20"/>
  <c r="H485" i="20"/>
  <c r="H487" i="20"/>
  <c r="F486" i="20"/>
  <c r="H482" i="20"/>
  <c r="F481" i="20"/>
  <c r="M482" i="20"/>
  <c r="F477" i="20"/>
  <c r="H477" i="20"/>
  <c r="I94" i="32"/>
  <c r="H476" i="20"/>
  <c r="M468" i="20"/>
  <c r="F466" i="20"/>
  <c r="H466" i="20"/>
  <c r="F461" i="20"/>
  <c r="H461" i="20"/>
  <c r="F457" i="20"/>
  <c r="M457" i="20"/>
  <c r="F456" i="20"/>
  <c r="M455" i="20"/>
  <c r="H456" i="20"/>
  <c r="F455" i="20"/>
  <c r="I90" i="32"/>
  <c r="F450" i="20"/>
  <c r="H450" i="20"/>
  <c r="M88" i="32" l="1"/>
  <c r="L88" i="32"/>
  <c r="H88" i="32"/>
  <c r="F88" i="32"/>
  <c r="M87" i="32"/>
  <c r="L87" i="32"/>
  <c r="H87" i="32"/>
  <c r="F87" i="32"/>
  <c r="M86" i="32"/>
  <c r="L86" i="32"/>
  <c r="H86" i="32"/>
  <c r="F86" i="32"/>
  <c r="M85" i="32"/>
  <c r="L85" i="32"/>
  <c r="H85" i="32"/>
  <c r="I85" i="32" s="1"/>
  <c r="F85" i="32"/>
  <c r="M446" i="20"/>
  <c r="L446" i="20"/>
  <c r="H446" i="20"/>
  <c r="F446" i="20"/>
  <c r="M445" i="20"/>
  <c r="L445" i="20"/>
  <c r="H445" i="20"/>
  <c r="F445" i="20"/>
  <c r="M444" i="20"/>
  <c r="L444" i="20"/>
  <c r="H444" i="20"/>
  <c r="F444" i="20"/>
  <c r="M443" i="20"/>
  <c r="L443" i="20"/>
  <c r="H443" i="20"/>
  <c r="F443" i="20"/>
  <c r="M442" i="20"/>
  <c r="L442" i="20"/>
  <c r="H442" i="20"/>
  <c r="F442" i="20"/>
  <c r="M84" i="32"/>
  <c r="L84" i="32"/>
  <c r="H84" i="32"/>
  <c r="F84" i="32"/>
  <c r="M83" i="32"/>
  <c r="L83" i="32"/>
  <c r="H83" i="32"/>
  <c r="I83" i="32" s="1"/>
  <c r="F83" i="32"/>
  <c r="M441" i="20"/>
  <c r="L441" i="20"/>
  <c r="H441" i="20"/>
  <c r="F441" i="20"/>
  <c r="L440" i="20"/>
  <c r="F440" i="20"/>
  <c r="L439" i="20"/>
  <c r="M439" i="20"/>
  <c r="F439" i="20"/>
  <c r="M438" i="20"/>
  <c r="L438" i="20"/>
  <c r="H438" i="20"/>
  <c r="F438" i="20"/>
  <c r="M82" i="32"/>
  <c r="L82" i="32"/>
  <c r="H82" i="32"/>
  <c r="I82" i="32" s="1"/>
  <c r="F82" i="32"/>
  <c r="M434" i="20"/>
  <c r="M437" i="20"/>
  <c r="L437" i="20"/>
  <c r="H437" i="20"/>
  <c r="F437" i="20"/>
  <c r="M436" i="20"/>
  <c r="L436" i="20"/>
  <c r="H436" i="20"/>
  <c r="F436" i="20"/>
  <c r="M435" i="20"/>
  <c r="L435" i="20"/>
  <c r="H435" i="20"/>
  <c r="F435" i="20"/>
  <c r="L434" i="20"/>
  <c r="M433" i="20"/>
  <c r="L433" i="20"/>
  <c r="H433" i="20"/>
  <c r="F433" i="20"/>
  <c r="F81" i="32"/>
  <c r="F80" i="32"/>
  <c r="F79" i="32"/>
  <c r="F78" i="32"/>
  <c r="F77" i="32"/>
  <c r="F76" i="32"/>
  <c r="F75" i="32"/>
  <c r="F74" i="32"/>
  <c r="M81" i="32"/>
  <c r="L81" i="32"/>
  <c r="H81" i="32"/>
  <c r="M80" i="32"/>
  <c r="L80" i="32"/>
  <c r="H80" i="32"/>
  <c r="M79" i="32"/>
  <c r="L79" i="32"/>
  <c r="H79" i="32"/>
  <c r="I79" i="32" s="1"/>
  <c r="M432" i="20"/>
  <c r="L432" i="20"/>
  <c r="H432" i="20"/>
  <c r="F432" i="20"/>
  <c r="M431" i="20"/>
  <c r="L431" i="20"/>
  <c r="H431" i="20"/>
  <c r="F431" i="20"/>
  <c r="M430" i="20"/>
  <c r="L430" i="20"/>
  <c r="H430" i="20"/>
  <c r="F430" i="20"/>
  <c r="M429" i="20"/>
  <c r="L429" i="20"/>
  <c r="H429" i="20"/>
  <c r="F429" i="20"/>
  <c r="M428" i="20"/>
  <c r="L428" i="20"/>
  <c r="H428" i="20"/>
  <c r="F428" i="20"/>
  <c r="M427" i="20"/>
  <c r="L427" i="20"/>
  <c r="H427" i="20"/>
  <c r="F427" i="20"/>
  <c r="M426" i="20"/>
  <c r="L426" i="20"/>
  <c r="H426" i="20"/>
  <c r="F426" i="20"/>
  <c r="M425" i="20"/>
  <c r="L425" i="20"/>
  <c r="H425" i="20"/>
  <c r="F425" i="20"/>
  <c r="M424" i="20"/>
  <c r="L424" i="20"/>
  <c r="H424" i="20"/>
  <c r="F424" i="20"/>
  <c r="M78" i="32"/>
  <c r="L78" i="32"/>
  <c r="H78" i="32"/>
  <c r="I78" i="32" s="1"/>
  <c r="M423" i="20"/>
  <c r="L423" i="20"/>
  <c r="H423" i="20"/>
  <c r="F423" i="20"/>
  <c r="M422" i="20"/>
  <c r="L422" i="20"/>
  <c r="H422" i="20"/>
  <c r="F422" i="20"/>
  <c r="M421" i="20"/>
  <c r="L421" i="20"/>
  <c r="H421" i="20"/>
  <c r="F421" i="20"/>
  <c r="M420" i="20"/>
  <c r="L420" i="20"/>
  <c r="H420" i="20"/>
  <c r="F420" i="20"/>
  <c r="I86" i="32" l="1"/>
  <c r="I87" i="32" s="1"/>
  <c r="I88" i="32" s="1"/>
  <c r="I84" i="32"/>
  <c r="H439" i="20"/>
  <c r="M440" i="20"/>
  <c r="H440" i="20"/>
  <c r="F434" i="20"/>
  <c r="H434" i="20"/>
  <c r="I80" i="32"/>
  <c r="I81" i="32"/>
  <c r="F419" i="20"/>
  <c r="F387" i="20"/>
  <c r="F388" i="20"/>
  <c r="F389" i="20"/>
  <c r="F390" i="20"/>
  <c r="F391" i="20"/>
  <c r="F392" i="20"/>
  <c r="F393" i="20"/>
  <c r="F394" i="20"/>
  <c r="F395" i="20"/>
  <c r="H412" i="20"/>
  <c r="H413" i="20"/>
  <c r="H414" i="20"/>
  <c r="H415" i="20"/>
  <c r="H416" i="20"/>
  <c r="H417" i="20"/>
  <c r="H418" i="20"/>
  <c r="H419" i="20"/>
  <c r="M419" i="20"/>
  <c r="L419" i="20"/>
  <c r="M418" i="20"/>
  <c r="L418" i="20"/>
  <c r="M417" i="20"/>
  <c r="L417" i="20"/>
  <c r="M416" i="20"/>
  <c r="L416" i="20"/>
  <c r="M415" i="20"/>
  <c r="L415" i="20"/>
  <c r="M414" i="20"/>
  <c r="L414" i="20"/>
  <c r="M413" i="20"/>
  <c r="L413" i="20"/>
  <c r="AA5" i="20"/>
  <c r="AA8" i="20" s="1"/>
  <c r="V5" i="20"/>
  <c r="V8" i="20" s="1"/>
  <c r="M412" i="20"/>
  <c r="L412" i="20"/>
  <c r="M411" i="20"/>
  <c r="L411" i="20"/>
  <c r="H411" i="20"/>
  <c r="M410" i="20"/>
  <c r="L410" i="20"/>
  <c r="H410" i="20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51" i="32"/>
  <c r="L52" i="32"/>
  <c r="L53" i="32"/>
  <c r="L54" i="32"/>
  <c r="L55" i="32"/>
  <c r="L56" i="32"/>
  <c r="L57" i="32"/>
  <c r="L58" i="32"/>
  <c r="L59" i="32"/>
  <c r="L60" i="32"/>
  <c r="L61" i="32"/>
  <c r="L62" i="32"/>
  <c r="L63" i="32"/>
  <c r="L64" i="32"/>
  <c r="L65" i="32"/>
  <c r="L66" i="32"/>
  <c r="L67" i="32"/>
  <c r="L68" i="32"/>
  <c r="L69" i="32"/>
  <c r="L70" i="32"/>
  <c r="L71" i="32"/>
  <c r="L72" i="32"/>
  <c r="L73" i="32"/>
  <c r="L74" i="32"/>
  <c r="L75" i="32"/>
  <c r="L76" i="32"/>
  <c r="L77" i="32"/>
  <c r="L8" i="32"/>
  <c r="L7" i="32"/>
  <c r="M77" i="32"/>
  <c r="H77" i="32"/>
  <c r="M76" i="32"/>
  <c r="H76" i="32"/>
  <c r="M75" i="32"/>
  <c r="H75" i="32"/>
  <c r="I75" i="32" s="1"/>
  <c r="M74" i="32"/>
  <c r="I74" i="32"/>
  <c r="H74" i="32"/>
  <c r="L409" i="20"/>
  <c r="L408" i="20"/>
  <c r="L407" i="20"/>
  <c r="L406" i="20"/>
  <c r="L405" i="20"/>
  <c r="L404" i="20"/>
  <c r="L403" i="20"/>
  <c r="L402" i="20"/>
  <c r="L401" i="20"/>
  <c r="M400" i="20"/>
  <c r="L400" i="20"/>
  <c r="H400" i="20"/>
  <c r="M399" i="20"/>
  <c r="L399" i="20"/>
  <c r="H399" i="20"/>
  <c r="M398" i="20"/>
  <c r="L398" i="20"/>
  <c r="H398" i="20"/>
  <c r="M397" i="20"/>
  <c r="L397" i="20"/>
  <c r="H397" i="20"/>
  <c r="L396" i="20"/>
  <c r="H396" i="20"/>
  <c r="M73" i="32"/>
  <c r="H73" i="32"/>
  <c r="I73" i="32" s="1"/>
  <c r="F73" i="32"/>
  <c r="L395" i="20"/>
  <c r="H395" i="20"/>
  <c r="L394" i="20"/>
  <c r="H394" i="20"/>
  <c r="H393" i="20"/>
  <c r="M72" i="32"/>
  <c r="H72" i="32"/>
  <c r="I72" i="32" s="1"/>
  <c r="F72" i="32"/>
  <c r="L392" i="20"/>
  <c r="H392" i="20"/>
  <c r="L391" i="20"/>
  <c r="H391" i="20"/>
  <c r="L390" i="20"/>
  <c r="H390" i="20"/>
  <c r="H389" i="20"/>
  <c r="M71" i="32"/>
  <c r="H71" i="32"/>
  <c r="I71" i="32" s="1"/>
  <c r="F71" i="32"/>
  <c r="M388" i="20"/>
  <c r="L388" i="20"/>
  <c r="H388" i="20"/>
  <c r="M387" i="20"/>
  <c r="L387" i="20"/>
  <c r="H387" i="20"/>
  <c r="M386" i="20"/>
  <c r="L386" i="20"/>
  <c r="H386" i="20"/>
  <c r="F386" i="20"/>
  <c r="H385" i="20"/>
  <c r="F385" i="20"/>
  <c r="M70" i="32"/>
  <c r="H70" i="32"/>
  <c r="F70" i="32"/>
  <c r="M69" i="32"/>
  <c r="H69" i="32"/>
  <c r="I69" i="32" s="1"/>
  <c r="F69" i="32"/>
  <c r="L384" i="20"/>
  <c r="H384" i="20"/>
  <c r="F384" i="20"/>
  <c r="L383" i="20"/>
  <c r="H383" i="20"/>
  <c r="F383" i="20"/>
  <c r="L382" i="20"/>
  <c r="H382" i="20"/>
  <c r="F382" i="20"/>
  <c r="L381" i="20"/>
  <c r="H381" i="20"/>
  <c r="F381" i="20"/>
  <c r="H380" i="20"/>
  <c r="F380" i="20"/>
  <c r="F68" i="32"/>
  <c r="F67" i="32"/>
  <c r="F66" i="32"/>
  <c r="F65" i="32"/>
  <c r="F64" i="32"/>
  <c r="F63" i="32"/>
  <c r="F62" i="32"/>
  <c r="F61" i="32"/>
  <c r="F60" i="32"/>
  <c r="F59" i="32"/>
  <c r="M68" i="32"/>
  <c r="H68" i="32"/>
  <c r="M67" i="32"/>
  <c r="H67" i="32"/>
  <c r="I67" i="32" s="1"/>
  <c r="L379" i="20"/>
  <c r="H379" i="20"/>
  <c r="F379" i="20"/>
  <c r="L378" i="20"/>
  <c r="H378" i="20"/>
  <c r="F378" i="20"/>
  <c r="L377" i="20"/>
  <c r="H377" i="20"/>
  <c r="F377" i="20"/>
  <c r="L376" i="20"/>
  <c r="H376" i="20"/>
  <c r="F376" i="20"/>
  <c r="H375" i="20"/>
  <c r="F375" i="20"/>
  <c r="F363" i="20"/>
  <c r="F364" i="20"/>
  <c r="F365" i="20"/>
  <c r="F366" i="20"/>
  <c r="F367" i="20"/>
  <c r="F368" i="20"/>
  <c r="F369" i="20"/>
  <c r="F370" i="20"/>
  <c r="L374" i="20"/>
  <c r="L373" i="20"/>
  <c r="L372" i="20"/>
  <c r="L371" i="20"/>
  <c r="H370" i="20"/>
  <c r="F348" i="20"/>
  <c r="F356" i="20"/>
  <c r="F357" i="20"/>
  <c r="F358" i="20"/>
  <c r="F359" i="20"/>
  <c r="F360" i="20"/>
  <c r="F361" i="20"/>
  <c r="F362" i="20"/>
  <c r="M66" i="32"/>
  <c r="H66" i="32"/>
  <c r="H357" i="20"/>
  <c r="H358" i="20"/>
  <c r="H359" i="20"/>
  <c r="H360" i="20"/>
  <c r="H361" i="20"/>
  <c r="H362" i="20"/>
  <c r="H363" i="20"/>
  <c r="H364" i="20"/>
  <c r="H365" i="20"/>
  <c r="H369" i="20"/>
  <c r="H356" i="20"/>
  <c r="H366" i="20"/>
  <c r="M65" i="32"/>
  <c r="H65" i="32"/>
  <c r="L365" i="20"/>
  <c r="M365" i="20"/>
  <c r="L364" i="20"/>
  <c r="M364" i="20"/>
  <c r="L363" i="20"/>
  <c r="M362" i="20"/>
  <c r="L362" i="20"/>
  <c r="M361" i="20"/>
  <c r="L361" i="20"/>
  <c r="M360" i="20"/>
  <c r="L360" i="20"/>
  <c r="M64" i="32"/>
  <c r="H64" i="32"/>
  <c r="M63" i="32"/>
  <c r="H63" i="32"/>
  <c r="I63" i="32" s="1"/>
  <c r="L359" i="20"/>
  <c r="M359" i="20"/>
  <c r="M358" i="20"/>
  <c r="L358" i="20"/>
  <c r="L357" i="20"/>
  <c r="M356" i="20"/>
  <c r="L356" i="20"/>
  <c r="I61" i="32"/>
  <c r="M62" i="32"/>
  <c r="H62" i="32"/>
  <c r="I62" i="32" s="1"/>
  <c r="M61" i="32"/>
  <c r="H61" i="32"/>
  <c r="M60" i="32"/>
  <c r="H60" i="32"/>
  <c r="I60" i="32" s="1"/>
  <c r="M59" i="32"/>
  <c r="H59" i="32"/>
  <c r="I59" i="32" s="1"/>
  <c r="M346" i="20"/>
  <c r="M345" i="20"/>
  <c r="L353" i="20"/>
  <c r="L355" i="20"/>
  <c r="L354" i="20"/>
  <c r="L352" i="20"/>
  <c r="L351" i="20"/>
  <c r="L350" i="20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7" i="32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8" i="20"/>
  <c r="F29" i="20"/>
  <c r="F30" i="20"/>
  <c r="F31" i="20"/>
  <c r="F33" i="20"/>
  <c r="F34" i="20"/>
  <c r="F35" i="20"/>
  <c r="F36" i="20"/>
  <c r="F41" i="20"/>
  <c r="F42" i="20"/>
  <c r="F43" i="20"/>
  <c r="F44" i="20"/>
  <c r="F45" i="20"/>
  <c r="F46" i="20"/>
  <c r="F47" i="20"/>
  <c r="F48" i="20"/>
  <c r="F49" i="20"/>
  <c r="F50" i="20"/>
  <c r="F53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91" i="20"/>
  <c r="F92" i="20"/>
  <c r="F93" i="20"/>
  <c r="F94" i="20"/>
  <c r="F95" i="20"/>
  <c r="F97" i="20"/>
  <c r="F98" i="20"/>
  <c r="F99" i="20"/>
  <c r="F103" i="20"/>
  <c r="F104" i="20"/>
  <c r="F106" i="20"/>
  <c r="F110" i="20"/>
  <c r="F112" i="20"/>
  <c r="F113" i="20"/>
  <c r="F115" i="20"/>
  <c r="F116" i="20"/>
  <c r="F117" i="20"/>
  <c r="F118" i="20"/>
  <c r="F119" i="20"/>
  <c r="F120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8" i="20"/>
  <c r="F149" i="20"/>
  <c r="F154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3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9" i="20"/>
  <c r="F200" i="20"/>
  <c r="F201" i="20"/>
  <c r="F203" i="20"/>
  <c r="F207" i="20"/>
  <c r="F208" i="20"/>
  <c r="F209" i="20"/>
  <c r="F210" i="20"/>
  <c r="F211" i="20"/>
  <c r="F212" i="20"/>
  <c r="F213" i="20"/>
  <c r="F214" i="20"/>
  <c r="F215" i="20"/>
  <c r="F216" i="20"/>
  <c r="F221" i="20"/>
  <c r="F222" i="20"/>
  <c r="F225" i="20"/>
  <c r="F227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50" i="20"/>
  <c r="F252" i="20"/>
  <c r="F253" i="20"/>
  <c r="F254" i="20"/>
  <c r="F255" i="20"/>
  <c r="F256" i="20"/>
  <c r="F257" i="20"/>
  <c r="F260" i="20"/>
  <c r="F261" i="20"/>
  <c r="F263" i="20"/>
  <c r="F264" i="20"/>
  <c r="F265" i="20"/>
  <c r="F266" i="20"/>
  <c r="F270" i="20"/>
  <c r="F273" i="20"/>
  <c r="F274" i="20"/>
  <c r="F275" i="20"/>
  <c r="F276" i="20"/>
  <c r="F277" i="20"/>
  <c r="F278" i="20"/>
  <c r="F279" i="20"/>
  <c r="F280" i="20"/>
  <c r="F281" i="20"/>
  <c r="F284" i="20"/>
  <c r="F286" i="20"/>
  <c r="F287" i="20"/>
  <c r="F288" i="20"/>
  <c r="F289" i="20"/>
  <c r="F290" i="20"/>
  <c r="F293" i="20"/>
  <c r="F294" i="20"/>
  <c r="F296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5" i="20"/>
  <c r="F319" i="20"/>
  <c r="F323" i="20"/>
  <c r="F324" i="20"/>
  <c r="F329" i="20"/>
  <c r="F333" i="20"/>
  <c r="F334" i="20"/>
  <c r="F335" i="20"/>
  <c r="F336" i="20"/>
  <c r="F337" i="20"/>
  <c r="F338" i="20"/>
  <c r="F339" i="20"/>
  <c r="F340" i="20"/>
  <c r="F341" i="20"/>
  <c r="F342" i="20"/>
  <c r="F343" i="20"/>
  <c r="F347" i="20"/>
  <c r="F7" i="20"/>
  <c r="M58" i="32"/>
  <c r="H58" i="32"/>
  <c r="I58" i="32" s="1"/>
  <c r="M57" i="32"/>
  <c r="H57" i="32"/>
  <c r="I57" i="32" s="1"/>
  <c r="H349" i="20"/>
  <c r="F344" i="20"/>
  <c r="M348" i="20"/>
  <c r="L348" i="20"/>
  <c r="H348" i="20"/>
  <c r="L349" i="20"/>
  <c r="M347" i="20"/>
  <c r="L347" i="20"/>
  <c r="H347" i="20"/>
  <c r="L346" i="20"/>
  <c r="L345" i="20"/>
  <c r="L344" i="20"/>
  <c r="M56" i="32"/>
  <c r="H56" i="32"/>
  <c r="M341" i="20"/>
  <c r="L341" i="20"/>
  <c r="H341" i="20"/>
  <c r="M343" i="20"/>
  <c r="L343" i="20"/>
  <c r="H343" i="20"/>
  <c r="M342" i="20"/>
  <c r="L342" i="20"/>
  <c r="H342" i="20"/>
  <c r="M340" i="20"/>
  <c r="L340" i="20"/>
  <c r="H340" i="20"/>
  <c r="M339" i="20"/>
  <c r="L339" i="20"/>
  <c r="H339" i="20"/>
  <c r="M55" i="32"/>
  <c r="H55" i="32"/>
  <c r="M54" i="32"/>
  <c r="H54" i="32"/>
  <c r="M53" i="32"/>
  <c r="H53" i="32"/>
  <c r="M338" i="20"/>
  <c r="L338" i="20"/>
  <c r="H338" i="20"/>
  <c r="M337" i="20"/>
  <c r="L337" i="20"/>
  <c r="H337" i="20"/>
  <c r="M336" i="20"/>
  <c r="L336" i="20"/>
  <c r="H336" i="20"/>
  <c r="M335" i="20"/>
  <c r="L335" i="20"/>
  <c r="H335" i="20"/>
  <c r="M52" i="32"/>
  <c r="H52" i="32"/>
  <c r="M51" i="32"/>
  <c r="H51" i="32"/>
  <c r="M332" i="20"/>
  <c r="M331" i="20"/>
  <c r="M330" i="20"/>
  <c r="M334" i="20"/>
  <c r="L334" i="20"/>
  <c r="H334" i="20"/>
  <c r="M333" i="20"/>
  <c r="L333" i="20"/>
  <c r="H333" i="20"/>
  <c r="L332" i="20"/>
  <c r="L331" i="20"/>
  <c r="L330" i="20"/>
  <c r="M50" i="32"/>
  <c r="H50" i="32"/>
  <c r="H328" i="20"/>
  <c r="M327" i="20"/>
  <c r="M326" i="20"/>
  <c r="M325" i="20"/>
  <c r="M329" i="20"/>
  <c r="L329" i="20"/>
  <c r="H329" i="20"/>
  <c r="L328" i="20"/>
  <c r="L327" i="20"/>
  <c r="L326" i="20"/>
  <c r="L325" i="20"/>
  <c r="M322" i="20"/>
  <c r="M321" i="20"/>
  <c r="H320" i="20"/>
  <c r="M324" i="20"/>
  <c r="L324" i="20"/>
  <c r="H324" i="20"/>
  <c r="M323" i="20"/>
  <c r="L323" i="20"/>
  <c r="H323" i="20"/>
  <c r="L322" i="20"/>
  <c r="L321" i="20"/>
  <c r="L320" i="20"/>
  <c r="M318" i="20"/>
  <c r="H317" i="20"/>
  <c r="F316" i="20"/>
  <c r="M319" i="20"/>
  <c r="L319" i="20"/>
  <c r="H319" i="20"/>
  <c r="L318" i="20"/>
  <c r="L317" i="20"/>
  <c r="L316" i="20"/>
  <c r="M315" i="20"/>
  <c r="L315" i="20"/>
  <c r="H315" i="20"/>
  <c r="L314" i="20"/>
  <c r="L313" i="20"/>
  <c r="L312" i="20"/>
  <c r="M313" i="20"/>
  <c r="F312" i="20"/>
  <c r="M314" i="20"/>
  <c r="M49" i="32"/>
  <c r="M48" i="32"/>
  <c r="M47" i="32"/>
  <c r="H49" i="32"/>
  <c r="H48" i="32"/>
  <c r="H47" i="32"/>
  <c r="M311" i="20"/>
  <c r="L311" i="20"/>
  <c r="M310" i="20"/>
  <c r="L310" i="20"/>
  <c r="M309" i="20"/>
  <c r="L309" i="20"/>
  <c r="M308" i="20"/>
  <c r="L308" i="20"/>
  <c r="M307" i="20"/>
  <c r="L307" i="20"/>
  <c r="M306" i="20"/>
  <c r="L306" i="20"/>
  <c r="H311" i="20"/>
  <c r="H310" i="20"/>
  <c r="H309" i="20"/>
  <c r="H308" i="20"/>
  <c r="H307" i="20"/>
  <c r="H306" i="20"/>
  <c r="M305" i="20"/>
  <c r="L305" i="20"/>
  <c r="H305" i="20"/>
  <c r="M304" i="20"/>
  <c r="L304" i="20"/>
  <c r="H304" i="20"/>
  <c r="M303" i="20"/>
  <c r="L303" i="20"/>
  <c r="H303" i="20"/>
  <c r="M299" i="20"/>
  <c r="M298" i="20"/>
  <c r="H297" i="20"/>
  <c r="M302" i="20"/>
  <c r="L302" i="20"/>
  <c r="H302" i="20"/>
  <c r="M301" i="20"/>
  <c r="L301" i="20"/>
  <c r="H301" i="20"/>
  <c r="M300" i="20"/>
  <c r="L300" i="20"/>
  <c r="H300" i="20"/>
  <c r="L299" i="20"/>
  <c r="L298" i="20"/>
  <c r="L297" i="20"/>
  <c r="M46" i="32"/>
  <c r="M45" i="32"/>
  <c r="M44" i="32"/>
  <c r="H46" i="32"/>
  <c r="H45" i="32"/>
  <c r="H44" i="32"/>
  <c r="M296" i="20"/>
  <c r="L296" i="20"/>
  <c r="H296" i="20"/>
  <c r="L295" i="20"/>
  <c r="M294" i="20"/>
  <c r="L294" i="20"/>
  <c r="H294" i="20"/>
  <c r="M293" i="20"/>
  <c r="L293" i="20"/>
  <c r="H293" i="20"/>
  <c r="L292" i="20"/>
  <c r="L291" i="20"/>
  <c r="H295" i="20"/>
  <c r="M292" i="20"/>
  <c r="H291" i="20"/>
  <c r="L288" i="20"/>
  <c r="M290" i="20"/>
  <c r="L290" i="20"/>
  <c r="M289" i="20"/>
  <c r="L289" i="20"/>
  <c r="M288" i="20"/>
  <c r="H290" i="20"/>
  <c r="H289" i="20"/>
  <c r="H288" i="20"/>
  <c r="M287" i="20"/>
  <c r="L287" i="20"/>
  <c r="H287" i="20"/>
  <c r="M286" i="20"/>
  <c r="L286" i="20"/>
  <c r="H286" i="20"/>
  <c r="L285" i="20"/>
  <c r="M284" i="20"/>
  <c r="L284" i="20"/>
  <c r="H284" i="20"/>
  <c r="L283" i="20"/>
  <c r="L282" i="20"/>
  <c r="H285" i="20"/>
  <c r="M283" i="20"/>
  <c r="M282" i="20"/>
  <c r="M281" i="20"/>
  <c r="L281" i="20"/>
  <c r="H281" i="20"/>
  <c r="M280" i="20"/>
  <c r="L280" i="20"/>
  <c r="H280" i="20"/>
  <c r="M279" i="20"/>
  <c r="L279" i="20"/>
  <c r="H279" i="20"/>
  <c r="M278" i="20"/>
  <c r="L278" i="20"/>
  <c r="H278" i="20"/>
  <c r="M277" i="20"/>
  <c r="L277" i="20"/>
  <c r="H277" i="20"/>
  <c r="M276" i="20"/>
  <c r="L276" i="20"/>
  <c r="H276" i="20"/>
  <c r="M275" i="20"/>
  <c r="L275" i="20"/>
  <c r="H275" i="20"/>
  <c r="M274" i="20"/>
  <c r="L274" i="20"/>
  <c r="H274" i="20"/>
  <c r="M273" i="20"/>
  <c r="L273" i="20"/>
  <c r="H273" i="20"/>
  <c r="M43" i="32"/>
  <c r="H43" i="32"/>
  <c r="H272" i="20"/>
  <c r="M271" i="20"/>
  <c r="M268" i="20"/>
  <c r="M267" i="20"/>
  <c r="M269" i="20"/>
  <c r="L271" i="20"/>
  <c r="L272" i="20"/>
  <c r="M270" i="20"/>
  <c r="L270" i="20"/>
  <c r="H270" i="20"/>
  <c r="L269" i="20"/>
  <c r="L268" i="20"/>
  <c r="L267" i="20"/>
  <c r="M42" i="32"/>
  <c r="H42" i="32"/>
  <c r="M266" i="20"/>
  <c r="L266" i="20"/>
  <c r="H266" i="20"/>
  <c r="M265" i="20"/>
  <c r="L265" i="20"/>
  <c r="H265" i="20"/>
  <c r="L264" i="20"/>
  <c r="M264" i="20"/>
  <c r="L263" i="20"/>
  <c r="H263" i="20"/>
  <c r="M41" i="32"/>
  <c r="H41" i="32"/>
  <c r="M40" i="32"/>
  <c r="H40" i="32"/>
  <c r="M262" i="20"/>
  <c r="M258" i="20"/>
  <c r="M259" i="20"/>
  <c r="L262" i="20"/>
  <c r="M261" i="20"/>
  <c r="L261" i="20"/>
  <c r="H261" i="20"/>
  <c r="M260" i="20"/>
  <c r="L260" i="20"/>
  <c r="H260" i="20"/>
  <c r="L259" i="20"/>
  <c r="L258" i="20"/>
  <c r="M39" i="32"/>
  <c r="H39" i="32"/>
  <c r="M257" i="20"/>
  <c r="L257" i="20"/>
  <c r="H257" i="20"/>
  <c r="M256" i="20"/>
  <c r="L256" i="20"/>
  <c r="H256" i="20"/>
  <c r="M255" i="20"/>
  <c r="L255" i="20"/>
  <c r="H255" i="20"/>
  <c r="M254" i="20"/>
  <c r="L254" i="20"/>
  <c r="H254" i="20"/>
  <c r="M253" i="20"/>
  <c r="L253" i="20"/>
  <c r="H253" i="20"/>
  <c r="M38" i="32"/>
  <c r="H38" i="32"/>
  <c r="M37" i="32"/>
  <c r="H37" i="32"/>
  <c r="M251" i="20"/>
  <c r="H249" i="20"/>
  <c r="M248" i="20"/>
  <c r="M250" i="20"/>
  <c r="L250" i="20"/>
  <c r="H250" i="20"/>
  <c r="M252" i="20"/>
  <c r="L252" i="20"/>
  <c r="H252" i="20"/>
  <c r="L251" i="20"/>
  <c r="L249" i="20"/>
  <c r="L248" i="20"/>
  <c r="M36" i="32"/>
  <c r="H36" i="32"/>
  <c r="M247" i="20"/>
  <c r="L247" i="20"/>
  <c r="H247" i="20"/>
  <c r="M246" i="20"/>
  <c r="L246" i="20"/>
  <c r="H246" i="20"/>
  <c r="M245" i="20"/>
  <c r="L245" i="20"/>
  <c r="H245" i="20"/>
  <c r="M244" i="20"/>
  <c r="L244" i="20"/>
  <c r="H244" i="20"/>
  <c r="M35" i="32"/>
  <c r="H35" i="32"/>
  <c r="M243" i="20"/>
  <c r="L243" i="20"/>
  <c r="H243" i="20"/>
  <c r="M242" i="20"/>
  <c r="L242" i="20"/>
  <c r="H242" i="20"/>
  <c r="M241" i="20"/>
  <c r="L241" i="20"/>
  <c r="H241" i="20"/>
  <c r="M240" i="20"/>
  <c r="L240" i="20"/>
  <c r="H240" i="20"/>
  <c r="M239" i="20"/>
  <c r="L239" i="20"/>
  <c r="H239" i="20"/>
  <c r="M238" i="20"/>
  <c r="L238" i="20"/>
  <c r="H238" i="20"/>
  <c r="M237" i="20"/>
  <c r="L237" i="20"/>
  <c r="H237" i="20"/>
  <c r="M236" i="20"/>
  <c r="L236" i="20"/>
  <c r="H236" i="20"/>
  <c r="M235" i="20"/>
  <c r="L235" i="20"/>
  <c r="H235" i="20"/>
  <c r="M34" i="32"/>
  <c r="H34" i="32"/>
  <c r="M33" i="32"/>
  <c r="H33" i="32"/>
  <c r="M32" i="32"/>
  <c r="H32" i="32"/>
  <c r="M31" i="32"/>
  <c r="H31" i="32"/>
  <c r="M30" i="32"/>
  <c r="H30" i="32"/>
  <c r="L234" i="20"/>
  <c r="M234" i="20"/>
  <c r="M233" i="20"/>
  <c r="L233" i="20"/>
  <c r="H233" i="20"/>
  <c r="M232" i="20"/>
  <c r="L232" i="20"/>
  <c r="H232" i="20"/>
  <c r="M231" i="20"/>
  <c r="L231" i="20"/>
  <c r="H231" i="20"/>
  <c r="L230" i="20"/>
  <c r="H230" i="20"/>
  <c r="M229" i="20"/>
  <c r="L229" i="20"/>
  <c r="H229" i="20"/>
  <c r="M29" i="32"/>
  <c r="H29" i="32"/>
  <c r="L228" i="20"/>
  <c r="M227" i="20"/>
  <c r="L227" i="20"/>
  <c r="H227" i="20"/>
  <c r="L226" i="20"/>
  <c r="M225" i="20"/>
  <c r="L225" i="20"/>
  <c r="H225" i="20"/>
  <c r="L224" i="20"/>
  <c r="L223" i="20"/>
  <c r="H228" i="20"/>
  <c r="M226" i="20"/>
  <c r="M224" i="20"/>
  <c r="M223" i="20"/>
  <c r="M220" i="20"/>
  <c r="H219" i="20"/>
  <c r="M218" i="20"/>
  <c r="H217" i="20"/>
  <c r="M222" i="20"/>
  <c r="L222" i="20"/>
  <c r="H222" i="20"/>
  <c r="M221" i="20"/>
  <c r="L221" i="20"/>
  <c r="H221" i="20"/>
  <c r="L220" i="20"/>
  <c r="L219" i="20"/>
  <c r="L218" i="20"/>
  <c r="L217" i="20"/>
  <c r="M11" i="32"/>
  <c r="H11" i="32"/>
  <c r="M216" i="20"/>
  <c r="L216" i="20"/>
  <c r="H216" i="20"/>
  <c r="M215" i="20"/>
  <c r="L215" i="20"/>
  <c r="H215" i="20"/>
  <c r="M214" i="20"/>
  <c r="L214" i="20"/>
  <c r="H214" i="20"/>
  <c r="M213" i="20"/>
  <c r="L213" i="20"/>
  <c r="H213" i="20"/>
  <c r="M212" i="20"/>
  <c r="L212" i="20"/>
  <c r="H212" i="20"/>
  <c r="M211" i="20"/>
  <c r="L211" i="20"/>
  <c r="H211" i="20"/>
  <c r="M210" i="20"/>
  <c r="L210" i="20"/>
  <c r="H210" i="20"/>
  <c r="M209" i="20"/>
  <c r="L209" i="20"/>
  <c r="H209" i="20"/>
  <c r="M208" i="20"/>
  <c r="L208" i="20"/>
  <c r="H208" i="20"/>
  <c r="H206" i="20"/>
  <c r="M205" i="20"/>
  <c r="M204" i="20"/>
  <c r="L207" i="20"/>
  <c r="M207" i="20"/>
  <c r="L206" i="20"/>
  <c r="L205" i="20"/>
  <c r="L204" i="20"/>
  <c r="M203" i="20"/>
  <c r="L203" i="20"/>
  <c r="H203" i="20"/>
  <c r="M28" i="32"/>
  <c r="H28" i="32"/>
  <c r="L202" i="20"/>
  <c r="M201" i="20"/>
  <c r="L201" i="20"/>
  <c r="H201" i="20"/>
  <c r="M200" i="20"/>
  <c r="L200" i="20"/>
  <c r="H200" i="20"/>
  <c r="M199" i="20"/>
  <c r="L199" i="20"/>
  <c r="H199" i="20"/>
  <c r="M202" i="20"/>
  <c r="L196" i="20"/>
  <c r="L197" i="20"/>
  <c r="L198" i="20"/>
  <c r="H198" i="20"/>
  <c r="H197" i="20"/>
  <c r="H196" i="20"/>
  <c r="M195" i="20"/>
  <c r="L195" i="20"/>
  <c r="H195" i="20"/>
  <c r="M194" i="20"/>
  <c r="L194" i="20"/>
  <c r="H194" i="20"/>
  <c r="M193" i="20"/>
  <c r="L193" i="20"/>
  <c r="H193" i="20"/>
  <c r="M192" i="20"/>
  <c r="L192" i="20"/>
  <c r="H192" i="20"/>
  <c r="I76" i="32" l="1"/>
  <c r="I77" i="32"/>
  <c r="I70" i="32"/>
  <c r="I68" i="32"/>
  <c r="H346" i="20"/>
  <c r="H345" i="20"/>
  <c r="F345" i="20"/>
  <c r="H367" i="20"/>
  <c r="M312" i="20"/>
  <c r="H368" i="20"/>
  <c r="F322" i="20"/>
  <c r="F349" i="20"/>
  <c r="I64" i="32"/>
  <c r="I65" i="32" s="1"/>
  <c r="I66" i="32" s="1"/>
  <c r="M363" i="20"/>
  <c r="F326" i="20"/>
  <c r="H316" i="20"/>
  <c r="M344" i="20"/>
  <c r="M316" i="20"/>
  <c r="F269" i="20"/>
  <c r="M291" i="20"/>
  <c r="F206" i="20"/>
  <c r="M297" i="20"/>
  <c r="F218" i="20"/>
  <c r="M357" i="20"/>
  <c r="F317" i="20"/>
  <c r="F251" i="20"/>
  <c r="H298" i="20"/>
  <c r="F314" i="20"/>
  <c r="F299" i="20"/>
  <c r="H312" i="20"/>
  <c r="H344" i="20"/>
  <c r="F325" i="20"/>
  <c r="F313" i="20"/>
  <c r="F217" i="20"/>
  <c r="F205" i="20"/>
  <c r="M349" i="20"/>
  <c r="F228" i="20"/>
  <c r="F204" i="20"/>
  <c r="H313" i="20"/>
  <c r="F346" i="20"/>
  <c r="F298" i="20"/>
  <c r="F262" i="20"/>
  <c r="F226" i="20"/>
  <c r="F202" i="20"/>
  <c r="F321" i="20"/>
  <c r="F297" i="20"/>
  <c r="F285" i="20"/>
  <c r="F249" i="20"/>
  <c r="H259" i="20"/>
  <c r="F332" i="20"/>
  <c r="F320" i="20"/>
  <c r="F272" i="20"/>
  <c r="F248" i="20"/>
  <c r="F224" i="20"/>
  <c r="F331" i="20"/>
  <c r="F295" i="20"/>
  <c r="F283" i="20"/>
  <c r="F271" i="20"/>
  <c r="F259" i="20"/>
  <c r="F223" i="20"/>
  <c r="F330" i="20"/>
  <c r="F318" i="20"/>
  <c r="F282" i="20"/>
  <c r="F258" i="20"/>
  <c r="F198" i="20"/>
  <c r="F197" i="20"/>
  <c r="F328" i="20"/>
  <c r="F292" i="20"/>
  <c r="F268" i="20"/>
  <c r="F220" i="20"/>
  <c r="F196" i="20"/>
  <c r="F327" i="20"/>
  <c r="F291" i="20"/>
  <c r="F267" i="20"/>
  <c r="F219" i="20"/>
  <c r="M320" i="20"/>
  <c r="H325" i="20"/>
  <c r="H282" i="20"/>
  <c r="H318" i="20"/>
  <c r="M295" i="20"/>
  <c r="M317" i="20"/>
  <c r="H292" i="20"/>
  <c r="H314" i="20"/>
  <c r="H283" i="20"/>
  <c r="H299" i="20"/>
  <c r="H331" i="20"/>
  <c r="H321" i="20"/>
  <c r="H332" i="20"/>
  <c r="H330" i="20"/>
  <c r="M328" i="20"/>
  <c r="H327" i="20"/>
  <c r="H326" i="20"/>
  <c r="H322" i="20"/>
  <c r="H271" i="20"/>
  <c r="H269" i="20"/>
  <c r="M285" i="20"/>
  <c r="H202" i="20"/>
  <c r="M272" i="20"/>
  <c r="H268" i="20"/>
  <c r="H267" i="20"/>
  <c r="H204" i="20"/>
  <c r="M263" i="20"/>
  <c r="H224" i="20"/>
  <c r="M217" i="20"/>
  <c r="M249" i="20"/>
  <c r="H251" i="20"/>
  <c r="M206" i="20"/>
  <c r="H220" i="20"/>
  <c r="H262" i="20"/>
  <c r="H264" i="20"/>
  <c r="H258" i="20"/>
  <c r="H248" i="20"/>
  <c r="H218" i="20"/>
  <c r="M228" i="20"/>
  <c r="M219" i="20"/>
  <c r="H205" i="20"/>
  <c r="H226" i="20"/>
  <c r="M198" i="20"/>
  <c r="M197" i="20"/>
  <c r="H223" i="20"/>
  <c r="M196" i="20"/>
  <c r="M230" i="20"/>
  <c r="H234" i="20"/>
  <c r="H207" i="20"/>
  <c r="M24" i="32" l="1"/>
  <c r="H24" i="32"/>
  <c r="M191" i="20"/>
  <c r="L191" i="20"/>
  <c r="H191" i="20"/>
  <c r="M190" i="20"/>
  <c r="L190" i="20"/>
  <c r="H190" i="20"/>
  <c r="M189" i="20"/>
  <c r="L189" i="20"/>
  <c r="H189" i="20"/>
  <c r="M188" i="20"/>
  <c r="L188" i="20"/>
  <c r="H188" i="20"/>
  <c r="M187" i="20"/>
  <c r="L187" i="20"/>
  <c r="H187" i="20"/>
  <c r="M186" i="20"/>
  <c r="L186" i="20"/>
  <c r="H186" i="20"/>
  <c r="M185" i="20"/>
  <c r="L185" i="20"/>
  <c r="H185" i="20"/>
  <c r="M184" i="20"/>
  <c r="L184" i="20"/>
  <c r="H184" i="20"/>
  <c r="M183" i="20"/>
  <c r="L183" i="20"/>
  <c r="M182" i="20"/>
  <c r="L182" i="20"/>
  <c r="M181" i="20"/>
  <c r="L181" i="20"/>
  <c r="M180" i="20"/>
  <c r="L180" i="20"/>
  <c r="M179" i="20"/>
  <c r="L179" i="20"/>
  <c r="M27" i="32"/>
  <c r="H27" i="32"/>
  <c r="M26" i="32"/>
  <c r="H26" i="32"/>
  <c r="M25" i="32"/>
  <c r="H25" i="32"/>
  <c r="H183" i="20"/>
  <c r="H182" i="20"/>
  <c r="H181" i="20"/>
  <c r="H180" i="20"/>
  <c r="H179" i="20"/>
  <c r="M178" i="20"/>
  <c r="L178" i="20"/>
  <c r="H178" i="20"/>
  <c r="M177" i="20"/>
  <c r="L177" i="20"/>
  <c r="H177" i="20"/>
  <c r="M176" i="20"/>
  <c r="L176" i="20"/>
  <c r="H176" i="20"/>
  <c r="H164" i="20"/>
  <c r="L164" i="20"/>
  <c r="M164" i="20"/>
  <c r="H165" i="20"/>
  <c r="L165" i="20"/>
  <c r="M165" i="20"/>
  <c r="H166" i="20"/>
  <c r="L166" i="20"/>
  <c r="M166" i="20"/>
  <c r="H167" i="20"/>
  <c r="L167" i="20"/>
  <c r="M167" i="20"/>
  <c r="H168" i="20"/>
  <c r="L168" i="20"/>
  <c r="M168" i="20"/>
  <c r="H169" i="20"/>
  <c r="L169" i="20"/>
  <c r="M169" i="20"/>
  <c r="H170" i="20"/>
  <c r="L170" i="20"/>
  <c r="M170" i="20"/>
  <c r="H171" i="20"/>
  <c r="L171" i="20"/>
  <c r="M171" i="20"/>
  <c r="L172" i="20"/>
  <c r="H173" i="20"/>
  <c r="L173" i="20"/>
  <c r="M173" i="20"/>
  <c r="L174" i="20"/>
  <c r="H175" i="20"/>
  <c r="L175" i="20"/>
  <c r="M175" i="20"/>
  <c r="M163" i="20"/>
  <c r="L163" i="20"/>
  <c r="H163" i="20"/>
  <c r="M162" i="20"/>
  <c r="L162" i="20"/>
  <c r="H162" i="20"/>
  <c r="M161" i="20"/>
  <c r="L161" i="20"/>
  <c r="H161" i="20"/>
  <c r="M160" i="20"/>
  <c r="L160" i="20"/>
  <c r="H160" i="20"/>
  <c r="M159" i="20"/>
  <c r="L159" i="20"/>
  <c r="H159" i="20"/>
  <c r="M158" i="20"/>
  <c r="L158" i="20"/>
  <c r="H158" i="20"/>
  <c r="L157" i="20"/>
  <c r="M157" i="20"/>
  <c r="L156" i="20"/>
  <c r="H156" i="20"/>
  <c r="U5" i="32"/>
  <c r="M23" i="32"/>
  <c r="H23" i="32"/>
  <c r="M22" i="32"/>
  <c r="H22" i="32"/>
  <c r="F155" i="20"/>
  <c r="L155" i="20"/>
  <c r="M154" i="20"/>
  <c r="L154" i="20"/>
  <c r="H154" i="20"/>
  <c r="L153" i="20"/>
  <c r="L152" i="20"/>
  <c r="L151" i="20"/>
  <c r="L150" i="20"/>
  <c r="M148" i="20"/>
  <c r="L148" i="20"/>
  <c r="H148" i="20"/>
  <c r="F147" i="20"/>
  <c r="M149" i="20"/>
  <c r="L149" i="20"/>
  <c r="H149" i="20"/>
  <c r="L147" i="20"/>
  <c r="L146" i="20"/>
  <c r="L145" i="20"/>
  <c r="L144" i="20"/>
  <c r="M21" i="32"/>
  <c r="H21" i="32"/>
  <c r="M143" i="20"/>
  <c r="L143" i="20"/>
  <c r="H143" i="20"/>
  <c r="M142" i="20"/>
  <c r="L142" i="20"/>
  <c r="H142" i="20"/>
  <c r="M141" i="20"/>
  <c r="L141" i="20"/>
  <c r="H141" i="20"/>
  <c r="M140" i="20"/>
  <c r="L140" i="20"/>
  <c r="H140" i="20"/>
  <c r="M139" i="20"/>
  <c r="L139" i="20"/>
  <c r="H139" i="20"/>
  <c r="M138" i="20"/>
  <c r="L138" i="20"/>
  <c r="H138" i="20"/>
  <c r="M137" i="20"/>
  <c r="L137" i="20"/>
  <c r="H137" i="20"/>
  <c r="M136" i="20"/>
  <c r="L136" i="20"/>
  <c r="H136" i="20"/>
  <c r="M135" i="20"/>
  <c r="L135" i="20"/>
  <c r="H135" i="20"/>
  <c r="M134" i="20"/>
  <c r="L134" i="20"/>
  <c r="H134" i="20"/>
  <c r="M133" i="20"/>
  <c r="L133" i="20"/>
  <c r="H133" i="20"/>
  <c r="L132" i="20"/>
  <c r="M132" i="20"/>
  <c r="L131" i="20"/>
  <c r="M131" i="20"/>
  <c r="M130" i="20"/>
  <c r="L130" i="20"/>
  <c r="H130" i="20"/>
  <c r="L129" i="20"/>
  <c r="M129" i="20"/>
  <c r="L128" i="20"/>
  <c r="L127" i="20"/>
  <c r="L126" i="20"/>
  <c r="L125" i="20"/>
  <c r="L124" i="20"/>
  <c r="L123" i="20"/>
  <c r="L122" i="20"/>
  <c r="L121" i="20"/>
  <c r="M120" i="20"/>
  <c r="L120" i="20"/>
  <c r="H120" i="20"/>
  <c r="M119" i="20"/>
  <c r="L119" i="20"/>
  <c r="H119" i="20"/>
  <c r="M118" i="20"/>
  <c r="L118" i="20"/>
  <c r="H118" i="20"/>
  <c r="M117" i="20"/>
  <c r="L117" i="20"/>
  <c r="H117" i="20"/>
  <c r="M116" i="20"/>
  <c r="L116" i="20"/>
  <c r="H116" i="20"/>
  <c r="M115" i="20"/>
  <c r="L115" i="20"/>
  <c r="H115" i="20"/>
  <c r="L114" i="20"/>
  <c r="L113" i="20"/>
  <c r="H113" i="20"/>
  <c r="M112" i="20"/>
  <c r="L112" i="20"/>
  <c r="H112" i="20"/>
  <c r="L107" i="20"/>
  <c r="L108" i="20"/>
  <c r="L109" i="20"/>
  <c r="H110" i="20"/>
  <c r="L110" i="20"/>
  <c r="M110" i="20"/>
  <c r="L111" i="20"/>
  <c r="Z5" i="32"/>
  <c r="X5" i="32"/>
  <c r="W5" i="32"/>
  <c r="V5" i="32"/>
  <c r="T5" i="32"/>
  <c r="M20" i="32"/>
  <c r="M19" i="32"/>
  <c r="H20" i="32"/>
  <c r="H19" i="32"/>
  <c r="M106" i="20"/>
  <c r="L106" i="20"/>
  <c r="H106" i="20"/>
  <c r="L105" i="20"/>
  <c r="L104" i="20"/>
  <c r="H104" i="20"/>
  <c r="M104" i="20"/>
  <c r="M103" i="20"/>
  <c r="L103" i="20"/>
  <c r="H103" i="20"/>
  <c r="L102" i="20"/>
  <c r="L101" i="20"/>
  <c r="L100" i="20"/>
  <c r="M99" i="20"/>
  <c r="L99" i="20"/>
  <c r="H99" i="20"/>
  <c r="M98" i="20"/>
  <c r="L98" i="20"/>
  <c r="H98" i="20"/>
  <c r="M97" i="20"/>
  <c r="L97" i="20"/>
  <c r="H97" i="20"/>
  <c r="L96" i="20"/>
  <c r="M95" i="20"/>
  <c r="L95" i="20"/>
  <c r="H95" i="20"/>
  <c r="L94" i="20"/>
  <c r="H94" i="20"/>
  <c r="L93" i="20"/>
  <c r="M93" i="20"/>
  <c r="L92" i="20"/>
  <c r="M92" i="20"/>
  <c r="M91" i="20"/>
  <c r="L91" i="20"/>
  <c r="H91" i="20"/>
  <c r="F89" i="20"/>
  <c r="L90" i="20"/>
  <c r="L89" i="20"/>
  <c r="L88" i="20"/>
  <c r="M17" i="32"/>
  <c r="M18" i="32"/>
  <c r="H18" i="32"/>
  <c r="M87" i="20"/>
  <c r="L87" i="20"/>
  <c r="H87" i="20"/>
  <c r="M86" i="20"/>
  <c r="L86" i="20"/>
  <c r="H86" i="20"/>
  <c r="M85" i="20"/>
  <c r="L85" i="20"/>
  <c r="H85" i="20"/>
  <c r="M84" i="20"/>
  <c r="L84" i="20"/>
  <c r="H84" i="20"/>
  <c r="M80" i="20"/>
  <c r="L80" i="20"/>
  <c r="H80" i="20"/>
  <c r="M79" i="20"/>
  <c r="L79" i="20"/>
  <c r="H79" i="20"/>
  <c r="M78" i="20"/>
  <c r="L78" i="20"/>
  <c r="H78" i="20"/>
  <c r="M77" i="20"/>
  <c r="L77" i="20"/>
  <c r="H77" i="20"/>
  <c r="M76" i="20"/>
  <c r="L76" i="20"/>
  <c r="H76" i="20"/>
  <c r="M75" i="20"/>
  <c r="L75" i="20"/>
  <c r="H75" i="20"/>
  <c r="M74" i="20"/>
  <c r="L74" i="20"/>
  <c r="H74" i="20"/>
  <c r="M73" i="20"/>
  <c r="L73" i="20"/>
  <c r="H73" i="20"/>
  <c r="M72" i="20"/>
  <c r="L72" i="20"/>
  <c r="H72" i="20"/>
  <c r="M71" i="20"/>
  <c r="L71" i="20"/>
  <c r="H71" i="20"/>
  <c r="M70" i="20"/>
  <c r="L70" i="20"/>
  <c r="H70" i="20"/>
  <c r="M83" i="20"/>
  <c r="L83" i="20"/>
  <c r="H83" i="20"/>
  <c r="M82" i="20"/>
  <c r="L82" i="20"/>
  <c r="H82" i="20"/>
  <c r="M81" i="20"/>
  <c r="L81" i="20"/>
  <c r="H81" i="20"/>
  <c r="M16" i="32"/>
  <c r="H16" i="32"/>
  <c r="M15" i="32"/>
  <c r="H15" i="32"/>
  <c r="M14" i="32"/>
  <c r="H14" i="32"/>
  <c r="M69" i="20"/>
  <c r="L69" i="20"/>
  <c r="H69" i="20"/>
  <c r="M68" i="20"/>
  <c r="L68" i="20"/>
  <c r="H68" i="20"/>
  <c r="M67" i="20"/>
  <c r="L67" i="20"/>
  <c r="H67" i="20"/>
  <c r="M66" i="20"/>
  <c r="L66" i="20"/>
  <c r="H66" i="20"/>
  <c r="M65" i="20"/>
  <c r="L65" i="20"/>
  <c r="H65" i="20"/>
  <c r="M64" i="20"/>
  <c r="L64" i="20"/>
  <c r="H64" i="20"/>
  <c r="M63" i="20"/>
  <c r="L63" i="20"/>
  <c r="H63" i="20"/>
  <c r="M62" i="20"/>
  <c r="L62" i="20"/>
  <c r="H62" i="20"/>
  <c r="M61" i="20"/>
  <c r="L61" i="20"/>
  <c r="H61" i="20"/>
  <c r="M60" i="20"/>
  <c r="L60" i="20"/>
  <c r="H60" i="20"/>
  <c r="M59" i="20"/>
  <c r="L59" i="20"/>
  <c r="H59" i="20"/>
  <c r="M58" i="20"/>
  <c r="L58" i="20"/>
  <c r="H58" i="20"/>
  <c r="L55" i="20"/>
  <c r="L56" i="20"/>
  <c r="M57" i="20"/>
  <c r="L57" i="20"/>
  <c r="M56" i="20"/>
  <c r="M55" i="20"/>
  <c r="H57" i="20"/>
  <c r="H56" i="20"/>
  <c r="H55" i="20"/>
  <c r="L53" i="20"/>
  <c r="L54" i="20"/>
  <c r="M53" i="20"/>
  <c r="L52" i="20"/>
  <c r="L51" i="20"/>
  <c r="H53" i="20"/>
  <c r="H8" i="20"/>
  <c r="H9" i="20"/>
  <c r="H10" i="20"/>
  <c r="H11" i="20"/>
  <c r="H15" i="20"/>
  <c r="H16" i="20"/>
  <c r="H17" i="20"/>
  <c r="H18" i="20"/>
  <c r="H19" i="20"/>
  <c r="H20" i="20"/>
  <c r="H21" i="20"/>
  <c r="H22" i="20"/>
  <c r="H23" i="20"/>
  <c r="H24" i="20"/>
  <c r="H28" i="20"/>
  <c r="H29" i="20"/>
  <c r="H30" i="20"/>
  <c r="H31" i="20"/>
  <c r="H33" i="20"/>
  <c r="H34" i="20"/>
  <c r="H35" i="20"/>
  <c r="H36" i="20"/>
  <c r="H41" i="20"/>
  <c r="H42" i="20"/>
  <c r="H43" i="20"/>
  <c r="H44" i="20"/>
  <c r="H45" i="20"/>
  <c r="H46" i="20"/>
  <c r="H47" i="20"/>
  <c r="H48" i="20"/>
  <c r="H49" i="20"/>
  <c r="H50" i="20"/>
  <c r="M50" i="20"/>
  <c r="L50" i="20"/>
  <c r="M100" i="20" l="1"/>
  <c r="F100" i="20"/>
  <c r="H125" i="20"/>
  <c r="F125" i="20"/>
  <c r="M51" i="20"/>
  <c r="F51" i="20"/>
  <c r="H90" i="20"/>
  <c r="F90" i="20"/>
  <c r="M126" i="20"/>
  <c r="F126" i="20"/>
  <c r="H172" i="20"/>
  <c r="F172" i="20"/>
  <c r="M109" i="20"/>
  <c r="F109" i="20"/>
  <c r="M127" i="20"/>
  <c r="F127" i="20"/>
  <c r="M174" i="20"/>
  <c r="F174" i="20"/>
  <c r="M54" i="20"/>
  <c r="F54" i="20"/>
  <c r="M102" i="20"/>
  <c r="F102" i="20"/>
  <c r="H108" i="20"/>
  <c r="F108" i="20"/>
  <c r="H114" i="20"/>
  <c r="F114" i="20"/>
  <c r="H128" i="20"/>
  <c r="F128" i="20"/>
  <c r="H150" i="20"/>
  <c r="F150" i="20"/>
  <c r="H88" i="20"/>
  <c r="F88" i="20"/>
  <c r="M101" i="20"/>
  <c r="F101" i="20"/>
  <c r="M105" i="20"/>
  <c r="F105" i="20"/>
  <c r="M121" i="20"/>
  <c r="F121" i="20"/>
  <c r="M151" i="20"/>
  <c r="F151" i="20"/>
  <c r="M52" i="20"/>
  <c r="F52" i="20"/>
  <c r="H107" i="20"/>
  <c r="F107" i="20"/>
  <c r="M122" i="20"/>
  <c r="F122" i="20"/>
  <c r="M152" i="20"/>
  <c r="F152" i="20"/>
  <c r="H123" i="20"/>
  <c r="F123" i="20"/>
  <c r="M153" i="20"/>
  <c r="F153" i="20"/>
  <c r="M146" i="20"/>
  <c r="F146" i="20"/>
  <c r="M124" i="20"/>
  <c r="F124" i="20"/>
  <c r="H111" i="20"/>
  <c r="F111" i="20"/>
  <c r="M144" i="20"/>
  <c r="F144" i="20"/>
  <c r="H96" i="20"/>
  <c r="F96" i="20"/>
  <c r="M145" i="20"/>
  <c r="F145" i="20"/>
  <c r="H152" i="20"/>
  <c r="M89" i="20"/>
  <c r="M96" i="20"/>
  <c r="H155" i="20"/>
  <c r="H174" i="20"/>
  <c r="M147" i="20"/>
  <c r="M172" i="20"/>
  <c r="M155" i="20"/>
  <c r="M156" i="20"/>
  <c r="M128" i="20"/>
  <c r="H157" i="20"/>
  <c r="Y5" i="32"/>
  <c r="AA5" i="32" s="1"/>
  <c r="H121" i="20"/>
  <c r="M90" i="20"/>
  <c r="H153" i="20"/>
  <c r="H144" i="20"/>
  <c r="M123" i="20"/>
  <c r="M88" i="20"/>
  <c r="H124" i="20"/>
  <c r="H89" i="20"/>
  <c r="H151" i="20"/>
  <c r="M150" i="20"/>
  <c r="H145" i="20"/>
  <c r="H147" i="20"/>
  <c r="H146" i="20"/>
  <c r="H122" i="20"/>
  <c r="H131" i="20"/>
  <c r="H129" i="20"/>
  <c r="H132" i="20"/>
  <c r="H127" i="20"/>
  <c r="M125" i="20"/>
  <c r="H126" i="20"/>
  <c r="M108" i="20"/>
  <c r="M113" i="20"/>
  <c r="M111" i="20"/>
  <c r="M107" i="20"/>
  <c r="M114" i="20"/>
  <c r="H109" i="20"/>
  <c r="H101" i="20"/>
  <c r="H105" i="20"/>
  <c r="H102" i="20"/>
  <c r="H100" i="20"/>
  <c r="H93" i="20"/>
  <c r="M94" i="20"/>
  <c r="H92" i="20"/>
  <c r="H51" i="20"/>
  <c r="H52" i="20"/>
  <c r="H54" i="20"/>
  <c r="L49" i="20" l="1"/>
  <c r="L48" i="20"/>
  <c r="L47" i="20"/>
  <c r="L46" i="20"/>
  <c r="M49" i="20"/>
  <c r="M48" i="20"/>
  <c r="M47" i="20"/>
  <c r="M46" i="20"/>
  <c r="M45" i="20"/>
  <c r="L45" i="20"/>
  <c r="M44" i="20"/>
  <c r="L44" i="20"/>
  <c r="M43" i="20"/>
  <c r="L43" i="20"/>
  <c r="M42" i="20"/>
  <c r="L42" i="20"/>
  <c r="M41" i="20"/>
  <c r="L41" i="20"/>
  <c r="L40" i="20"/>
  <c r="L39" i="20"/>
  <c r="L38" i="20"/>
  <c r="L37" i="20"/>
  <c r="F39" i="20"/>
  <c r="M36" i="20"/>
  <c r="L36" i="20"/>
  <c r="M35" i="20"/>
  <c r="L35" i="20"/>
  <c r="M34" i="20"/>
  <c r="L34" i="20"/>
  <c r="M33" i="20"/>
  <c r="L33" i="20"/>
  <c r="L32" i="20"/>
  <c r="M31" i="20"/>
  <c r="L31" i="20"/>
  <c r="M30" i="20"/>
  <c r="L30" i="20"/>
  <c r="M29" i="20"/>
  <c r="L29" i="20"/>
  <c r="M28" i="20"/>
  <c r="L28" i="20"/>
  <c r="H40" i="20" l="1"/>
  <c r="F40" i="20"/>
  <c r="H38" i="20"/>
  <c r="F38" i="20"/>
  <c r="H37" i="20"/>
  <c r="F37" i="20"/>
  <c r="H32" i="20"/>
  <c r="F32" i="20"/>
  <c r="M39" i="20"/>
  <c r="M40" i="20"/>
  <c r="M38" i="20"/>
  <c r="M37" i="20"/>
  <c r="H39" i="20"/>
  <c r="M32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F27" i="20"/>
  <c r="M24" i="20"/>
  <c r="F26" i="20" l="1"/>
  <c r="F25" i="20"/>
  <c r="M27" i="20"/>
  <c r="H26" i="20"/>
  <c r="H25" i="20"/>
  <c r="M25" i="20"/>
  <c r="M26" i="20"/>
  <c r="H27" i="20"/>
  <c r="H17" i="32"/>
  <c r="M13" i="32"/>
  <c r="H13" i="32"/>
  <c r="M12" i="32"/>
  <c r="H12" i="32"/>
  <c r="M10" i="32"/>
  <c r="H10" i="32"/>
  <c r="M9" i="32"/>
  <c r="H9" i="32"/>
  <c r="M8" i="32"/>
  <c r="H8" i="32"/>
  <c r="M7" i="32"/>
  <c r="H7" i="32"/>
  <c r="I7" i="32" s="1"/>
  <c r="M22" i="20"/>
  <c r="M21" i="20"/>
  <c r="M20" i="20"/>
  <c r="M16" i="20"/>
  <c r="M15" i="20"/>
  <c r="M14" i="20"/>
  <c r="M13" i="20"/>
  <c r="M12" i="20"/>
  <c r="I8" i="32" l="1"/>
  <c r="I9" i="32"/>
  <c r="I10" i="32" s="1"/>
  <c r="I11" i="32" s="1"/>
  <c r="I12" i="32" s="1"/>
  <c r="I13" i="32" s="1"/>
  <c r="I14" i="32" s="1"/>
  <c r="I15" i="32" s="1"/>
  <c r="I16" i="32" s="1"/>
  <c r="I17" i="32" s="1"/>
  <c r="I18" i="32" s="1"/>
  <c r="I19" i="32" s="1"/>
  <c r="I20" i="32" s="1"/>
  <c r="I21" i="32" s="1"/>
  <c r="I22" i="32" s="1"/>
  <c r="I23" i="32" s="1"/>
  <c r="I24" i="32" s="1"/>
  <c r="I25" i="32" s="1"/>
  <c r="I26" i="32" s="1"/>
  <c r="I27" i="32" s="1"/>
  <c r="I28" i="32" s="1"/>
  <c r="I29" i="32" s="1"/>
  <c r="I30" i="32" s="1"/>
  <c r="I31" i="32" s="1"/>
  <c r="I32" i="32" s="1"/>
  <c r="I33" i="32" s="1"/>
  <c r="I34" i="32" s="1"/>
  <c r="I35" i="32" s="1"/>
  <c r="I36" i="32" s="1"/>
  <c r="I37" i="32" s="1"/>
  <c r="I38" i="32" s="1"/>
  <c r="I39" i="32" s="1"/>
  <c r="I40" i="32" s="1"/>
  <c r="I41" i="32" s="1"/>
  <c r="I42" i="32" s="1"/>
  <c r="I43" i="32" s="1"/>
  <c r="I44" i="32" s="1"/>
  <c r="I45" i="32" s="1"/>
  <c r="I46" i="32" s="1"/>
  <c r="I47" i="32" s="1"/>
  <c r="I48" i="32" s="1"/>
  <c r="I49" i="32" s="1"/>
  <c r="I50" i="32" s="1"/>
  <c r="I51" i="32" s="1"/>
  <c r="I52" i="32" s="1"/>
  <c r="I53" i="32" s="1"/>
  <c r="I54" i="32" s="1"/>
  <c r="I55" i="32" s="1"/>
  <c r="I56" i="32" s="1"/>
  <c r="M10" i="20" l="1"/>
  <c r="M11" i="20"/>
  <c r="M17" i="20"/>
  <c r="M18" i="20"/>
  <c r="M19" i="20"/>
  <c r="M23" i="20"/>
  <c r="M7" i="20"/>
  <c r="M8" i="20"/>
  <c r="M9" i="20"/>
  <c r="H7" i="20" l="1"/>
  <c r="I7" i="20" s="1"/>
  <c r="I8" i="20" l="1"/>
  <c r="I9" i="20" s="1"/>
  <c r="I10" i="20" s="1"/>
  <c r="I11" i="20" s="1"/>
  <c r="I13" i="20" s="1"/>
  <c r="I14" i="20" s="1"/>
  <c r="I15" i="20" s="1"/>
  <c r="I16" i="20" s="1"/>
  <c r="I17" i="20" s="1"/>
  <c r="I18" i="20" s="1"/>
  <c r="I19" i="20" s="1"/>
  <c r="I20" i="20" s="1"/>
  <c r="I21" i="20" s="1"/>
  <c r="I22" i="20" s="1"/>
  <c r="I23" i="20" s="1"/>
  <c r="I24" i="20" s="1"/>
  <c r="I25" i="20" s="1"/>
  <c r="I26" i="20" s="1"/>
  <c r="I27" i="20" s="1"/>
  <c r="I28" i="20" s="1"/>
  <c r="I29" i="20" s="1"/>
  <c r="I30" i="20" s="1"/>
  <c r="I31" i="20" s="1"/>
  <c r="I32" i="20" s="1"/>
  <c r="I33" i="20" s="1"/>
  <c r="I34" i="20" s="1"/>
  <c r="I35" i="20" s="1"/>
  <c r="I36" i="20" s="1"/>
  <c r="I37" i="20" s="1"/>
  <c r="I38" i="20" s="1"/>
  <c r="I39" i="20" s="1"/>
  <c r="I40" i="20" s="1"/>
  <c r="I41" i="20" s="1"/>
  <c r="I42" i="20" s="1"/>
  <c r="I43" i="20" s="1"/>
  <c r="I44" i="20" s="1"/>
  <c r="I45" i="20" s="1"/>
  <c r="I46" i="20" s="1"/>
  <c r="I47" i="20" s="1"/>
  <c r="I48" i="20" s="1"/>
  <c r="I49" i="20" s="1"/>
  <c r="I50" i="20" s="1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I80" i="20" s="1"/>
  <c r="I81" i="20" s="1"/>
  <c r="I82" i="20" s="1"/>
  <c r="I83" i="20" s="1"/>
  <c r="I84" i="20" s="1"/>
  <c r="I85" i="20" s="1"/>
  <c r="I86" i="20" s="1"/>
  <c r="I87" i="20" s="1"/>
  <c r="I88" i="20" s="1"/>
  <c r="I89" i="20" s="1"/>
  <c r="I90" i="20" s="1"/>
  <c r="I91" i="20" s="1"/>
  <c r="I92" i="20" s="1"/>
  <c r="I93" i="20" s="1"/>
  <c r="I94" i="20" s="1"/>
  <c r="I95" i="20" s="1"/>
  <c r="I96" i="20" s="1"/>
  <c r="I97" i="20" s="1"/>
  <c r="I98" i="20" s="1"/>
  <c r="I99" i="20" s="1"/>
  <c r="I100" i="20" s="1"/>
  <c r="I101" i="20" s="1"/>
  <c r="I102" i="20" s="1"/>
  <c r="I103" i="20" s="1"/>
  <c r="I104" i="20" s="1"/>
  <c r="I105" i="20" s="1"/>
  <c r="I106" i="20" s="1"/>
  <c r="I107" i="20" s="1"/>
  <c r="I108" i="20" s="1"/>
  <c r="I109" i="20" s="1"/>
  <c r="I110" i="20" s="1"/>
  <c r="I111" i="20" s="1"/>
  <c r="I112" i="20" s="1"/>
  <c r="I113" i="20" s="1"/>
  <c r="I114" i="20" s="1"/>
  <c r="I115" i="20" s="1"/>
  <c r="I116" i="20" s="1"/>
  <c r="I117" i="20" s="1"/>
  <c r="I118" i="20" s="1"/>
  <c r="I119" i="20" s="1"/>
  <c r="I120" i="20" s="1"/>
  <c r="I121" i="20" s="1"/>
  <c r="I122" i="20" s="1"/>
  <c r="I123" i="20" s="1"/>
  <c r="I124" i="20" s="1"/>
  <c r="I125" i="20" s="1"/>
  <c r="I126" i="20" s="1"/>
  <c r="I127" i="20" s="1"/>
  <c r="I128" i="20" s="1"/>
  <c r="I129" i="20" s="1"/>
  <c r="I130" i="20" s="1"/>
  <c r="I131" i="20" s="1"/>
  <c r="I132" i="20" s="1"/>
  <c r="I133" i="20" s="1"/>
  <c r="I134" i="20" s="1"/>
  <c r="I135" i="20" s="1"/>
  <c r="I136" i="20" s="1"/>
  <c r="I137" i="20" s="1"/>
  <c r="I138" i="20" s="1"/>
  <c r="I139" i="20" s="1"/>
  <c r="I140" i="20" s="1"/>
  <c r="I141" i="20" s="1"/>
  <c r="I142" i="20" s="1"/>
  <c r="I143" i="20" s="1"/>
  <c r="I144" i="20" s="1"/>
  <c r="I145" i="20" s="1"/>
  <c r="I146" i="20" s="1"/>
  <c r="I147" i="20" s="1"/>
  <c r="I148" i="20" s="1"/>
  <c r="I149" i="20" s="1"/>
  <c r="I150" i="20" s="1"/>
  <c r="I151" i="20" s="1"/>
  <c r="I152" i="20" s="1"/>
  <c r="I153" i="20" s="1"/>
  <c r="I154" i="20" s="1"/>
  <c r="I155" i="20" s="1"/>
  <c r="I156" i="20" s="1"/>
  <c r="I157" i="20" s="1"/>
  <c r="I158" i="20" s="1"/>
  <c r="I159" i="20" s="1"/>
  <c r="I160" i="20" s="1"/>
  <c r="I161" i="20" s="1"/>
  <c r="I162" i="20" s="1"/>
  <c r="I163" i="20" s="1"/>
  <c r="I164" i="20" s="1"/>
  <c r="I165" i="20" s="1"/>
  <c r="I166" i="20" s="1"/>
  <c r="I167" i="20" s="1"/>
  <c r="I168" i="20" s="1"/>
  <c r="I169" i="20" s="1"/>
  <c r="I170" i="20" s="1"/>
  <c r="I171" i="20" s="1"/>
  <c r="I172" i="20" s="1"/>
  <c r="I173" i="20" s="1"/>
  <c r="I174" i="20" s="1"/>
  <c r="I175" i="20" s="1"/>
  <c r="I176" i="20" s="1"/>
  <c r="I177" i="20" s="1"/>
  <c r="I178" i="20" s="1"/>
  <c r="I179" i="20" s="1"/>
  <c r="I180" i="20" s="1"/>
  <c r="I181" i="20" s="1"/>
  <c r="I182" i="20" s="1"/>
  <c r="I183" i="20" s="1"/>
  <c r="I184" i="20" s="1"/>
  <c r="I185" i="20" s="1"/>
  <c r="I186" i="20" s="1"/>
  <c r="I187" i="20" s="1"/>
  <c r="I188" i="20" s="1"/>
  <c r="I189" i="20" s="1"/>
  <c r="I190" i="20" s="1"/>
  <c r="I191" i="20" s="1"/>
  <c r="I192" i="20" s="1"/>
  <c r="I193" i="20" s="1"/>
  <c r="I194" i="20" s="1"/>
  <c r="I195" i="20" s="1"/>
  <c r="I196" i="20" s="1"/>
  <c r="I197" i="20" s="1"/>
  <c r="I198" i="20" s="1"/>
  <c r="I199" i="20" s="1"/>
  <c r="I200" i="20" s="1"/>
  <c r="I201" i="20" s="1"/>
  <c r="I202" i="20" s="1"/>
  <c r="I203" i="20" s="1"/>
  <c r="I204" i="20" s="1"/>
  <c r="I205" i="20" s="1"/>
  <c r="I206" i="20" s="1"/>
  <c r="I207" i="20" s="1"/>
  <c r="I208" i="20" s="1"/>
  <c r="I209" i="20" s="1"/>
  <c r="I210" i="20" s="1"/>
  <c r="I211" i="20" s="1"/>
  <c r="I212" i="20" s="1"/>
  <c r="I213" i="20" s="1"/>
  <c r="I214" i="20" s="1"/>
  <c r="I215" i="20" s="1"/>
  <c r="I216" i="20" s="1"/>
  <c r="I217" i="20" s="1"/>
  <c r="I218" i="20" s="1"/>
  <c r="I219" i="20" s="1"/>
  <c r="I220" i="20" s="1"/>
  <c r="I221" i="20" s="1"/>
  <c r="I222" i="20" s="1"/>
  <c r="I223" i="20" s="1"/>
  <c r="I224" i="20" s="1"/>
  <c r="I225" i="20" s="1"/>
  <c r="I226" i="20" s="1"/>
  <c r="I227" i="20" s="1"/>
  <c r="I228" i="20" s="1"/>
  <c r="I229" i="20" s="1"/>
  <c r="I230" i="20" s="1"/>
  <c r="I231" i="20" s="1"/>
  <c r="I232" i="20" s="1"/>
  <c r="I233" i="20" s="1"/>
  <c r="I234" i="20" s="1"/>
  <c r="I235" i="20" s="1"/>
  <c r="I236" i="20" s="1"/>
  <c r="I237" i="20" s="1"/>
  <c r="I238" i="20" s="1"/>
  <c r="I239" i="20" s="1"/>
  <c r="I240" i="20" s="1"/>
  <c r="I241" i="20" s="1"/>
  <c r="I242" i="20" s="1"/>
  <c r="I243" i="20" s="1"/>
  <c r="I244" i="20" s="1"/>
  <c r="I245" i="20" s="1"/>
  <c r="I246" i="20" s="1"/>
  <c r="I247" i="20" s="1"/>
  <c r="I248" i="20" s="1"/>
  <c r="I249" i="20" s="1"/>
  <c r="I250" i="20" s="1"/>
  <c r="I251" i="20" s="1"/>
  <c r="I252" i="20" s="1"/>
  <c r="I253" i="20" s="1"/>
  <c r="I254" i="20" s="1"/>
  <c r="I255" i="20" s="1"/>
  <c r="I256" i="20" s="1"/>
  <c r="I257" i="20" s="1"/>
  <c r="I258" i="20" s="1"/>
  <c r="I259" i="20" s="1"/>
  <c r="I260" i="20" s="1"/>
  <c r="I261" i="20" s="1"/>
  <c r="I262" i="20" s="1"/>
  <c r="I263" i="20" s="1"/>
  <c r="I264" i="20" s="1"/>
  <c r="I265" i="20" s="1"/>
  <c r="I266" i="20" s="1"/>
  <c r="I267" i="20" s="1"/>
  <c r="I268" i="20" s="1"/>
  <c r="I269" i="20" s="1"/>
  <c r="I270" i="20" s="1"/>
  <c r="I271" i="20" s="1"/>
  <c r="I272" i="20" s="1"/>
  <c r="I273" i="20" s="1"/>
  <c r="I274" i="20" s="1"/>
  <c r="I275" i="20" s="1"/>
  <c r="I276" i="20" s="1"/>
  <c r="I277" i="20" s="1"/>
  <c r="I278" i="20" s="1"/>
  <c r="I279" i="20" s="1"/>
  <c r="I280" i="20" s="1"/>
  <c r="I281" i="20" s="1"/>
  <c r="I282" i="20" s="1"/>
  <c r="I283" i="20" s="1"/>
  <c r="I284" i="20" s="1"/>
  <c r="I285" i="20" s="1"/>
  <c r="I286" i="20" s="1"/>
  <c r="I287" i="20" s="1"/>
  <c r="I288" i="20" s="1"/>
  <c r="I289" i="20" s="1"/>
  <c r="I290" i="20" s="1"/>
  <c r="I291" i="20" s="1"/>
  <c r="I292" i="20" s="1"/>
  <c r="I293" i="20" s="1"/>
  <c r="I294" i="20" s="1"/>
  <c r="I295" i="20" s="1"/>
  <c r="I296" i="20" s="1"/>
  <c r="I297" i="20" s="1"/>
  <c r="I298" i="20" s="1"/>
  <c r="I299" i="20" s="1"/>
  <c r="I300" i="20" s="1"/>
  <c r="I301" i="20" s="1"/>
  <c r="I302" i="20" s="1"/>
  <c r="I303" i="20" s="1"/>
  <c r="I304" i="20" s="1"/>
  <c r="I305" i="20" s="1"/>
  <c r="I306" i="20" s="1"/>
  <c r="I307" i="20" s="1"/>
  <c r="I308" i="20" s="1"/>
  <c r="I309" i="20" s="1"/>
  <c r="I310" i="20" s="1"/>
  <c r="I311" i="20" s="1"/>
  <c r="I312" i="20" s="1"/>
  <c r="I313" i="20" s="1"/>
  <c r="I314" i="20" s="1"/>
  <c r="I315" i="20" s="1"/>
  <c r="I316" i="20" s="1"/>
  <c r="I317" i="20" s="1"/>
  <c r="I318" i="20" s="1"/>
  <c r="I319" i="20" s="1"/>
  <c r="I320" i="20" s="1"/>
  <c r="I321" i="20" s="1"/>
  <c r="I322" i="20" s="1"/>
  <c r="I323" i="20" s="1"/>
  <c r="I324" i="20" s="1"/>
  <c r="I325" i="20" s="1"/>
  <c r="I326" i="20" s="1"/>
  <c r="I327" i="20" s="1"/>
  <c r="I328" i="20" s="1"/>
  <c r="I329" i="20" s="1"/>
  <c r="I330" i="20" s="1"/>
  <c r="I331" i="20" s="1"/>
  <c r="I332" i="20" s="1"/>
  <c r="I333" i="20" s="1"/>
  <c r="I334" i="20" s="1"/>
  <c r="I335" i="20" s="1"/>
  <c r="I336" i="20" s="1"/>
  <c r="I337" i="20" s="1"/>
  <c r="I338" i="20" s="1"/>
  <c r="I339" i="20" s="1"/>
  <c r="I340" i="20" s="1"/>
  <c r="I341" i="20" s="1"/>
  <c r="I342" i="20" s="1"/>
  <c r="I343" i="20" s="1"/>
  <c r="I344" i="20" s="1"/>
  <c r="I345" i="20" s="1"/>
  <c r="I346" i="20" s="1"/>
  <c r="I347" i="20" s="1"/>
  <c r="I348" i="20" s="1"/>
  <c r="I349" i="20" s="1"/>
  <c r="H371" i="20" l="1"/>
  <c r="F371" i="20"/>
  <c r="M371" i="20"/>
  <c r="H372" i="20"/>
  <c r="F372" i="20"/>
  <c r="M372" i="20"/>
  <c r="H373" i="20"/>
  <c r="F373" i="20"/>
  <c r="M373" i="20"/>
  <c r="H374" i="20"/>
  <c r="F374" i="20"/>
  <c r="M374" i="20"/>
  <c r="H355" i="20"/>
  <c r="M355" i="20"/>
  <c r="F355" i="20"/>
  <c r="H354" i="20"/>
  <c r="M354" i="20"/>
  <c r="F354" i="20"/>
  <c r="H353" i="20"/>
  <c r="M353" i="20"/>
  <c r="F353" i="20"/>
  <c r="H352" i="20"/>
  <c r="F352" i="20"/>
  <c r="M352" i="20"/>
  <c r="H351" i="20"/>
  <c r="F351" i="20"/>
  <c r="M351" i="20"/>
  <c r="H350" i="20"/>
  <c r="I350" i="20" s="1"/>
  <c r="I351" i="20" s="1"/>
  <c r="F350" i="20"/>
  <c r="M350" i="20"/>
  <c r="T5" i="20"/>
  <c r="T8" i="20" s="1"/>
  <c r="H407" i="20"/>
  <c r="Y5" i="20"/>
  <c r="Y8" i="20" s="1"/>
  <c r="M409" i="20"/>
  <c r="H406" i="20"/>
  <c r="H408" i="20"/>
  <c r="M408" i="20"/>
  <c r="Z5" i="20"/>
  <c r="Z8" i="20" s="1"/>
  <c r="H405" i="20"/>
  <c r="U5" i="20"/>
  <c r="U8" i="20" s="1"/>
  <c r="M402" i="20"/>
  <c r="H402" i="20"/>
  <c r="M401" i="20"/>
  <c r="H401" i="20"/>
  <c r="H403" i="20"/>
  <c r="W5" i="20"/>
  <c r="W8" i="20" s="1"/>
  <c r="M404" i="20"/>
  <c r="X5" i="20"/>
  <c r="X8" i="20" s="1"/>
  <c r="I352" i="20" l="1"/>
  <c r="I353" i="20" s="1"/>
  <c r="I354" i="20" s="1"/>
  <c r="I355" i="20" s="1"/>
  <c r="I356" i="20" s="1"/>
  <c r="I357" i="20" s="1"/>
  <c r="I358" i="20" s="1"/>
  <c r="I359" i="20" s="1"/>
  <c r="I360" i="20" s="1"/>
  <c r="I361" i="20" s="1"/>
  <c r="I362" i="20" s="1"/>
  <c r="I363" i="20" s="1"/>
  <c r="I364" i="20" s="1"/>
  <c r="I365" i="20" s="1"/>
  <c r="I366" i="20" s="1"/>
  <c r="I367" i="20" s="1"/>
  <c r="I368" i="20" s="1"/>
  <c r="I369" i="20" s="1"/>
  <c r="I370" i="20" s="1"/>
  <c r="I371" i="20" s="1"/>
  <c r="I372" i="20" s="1"/>
  <c r="I373" i="20" s="1"/>
  <c r="I374" i="20" s="1"/>
  <c r="I375" i="20" s="1"/>
  <c r="I376" i="20" s="1"/>
  <c r="I377" i="20" s="1"/>
  <c r="I378" i="20" s="1"/>
  <c r="I379" i="20" s="1"/>
  <c r="I380" i="20" s="1"/>
  <c r="I381" i="20" s="1"/>
  <c r="I382" i="20" s="1"/>
  <c r="I383" i="20" s="1"/>
  <c r="I384" i="20" s="1"/>
  <c r="I385" i="20" s="1"/>
  <c r="I386" i="20" s="1"/>
  <c r="I387" i="20" s="1"/>
  <c r="I388" i="20" s="1"/>
  <c r="I389" i="20" s="1"/>
  <c r="I390" i="20" s="1"/>
  <c r="I391" i="20" s="1"/>
  <c r="I392" i="20" s="1"/>
  <c r="I393" i="20" s="1"/>
  <c r="I394" i="20" s="1"/>
  <c r="I395" i="20" s="1"/>
  <c r="I396" i="20" s="1"/>
  <c r="I397" i="20" s="1"/>
  <c r="I398" i="20" s="1"/>
  <c r="I399" i="20" s="1"/>
  <c r="I400" i="20" s="1"/>
  <c r="I401" i="20" s="1"/>
  <c r="I402" i="20" s="1"/>
  <c r="I403" i="20" s="1"/>
  <c r="H409" i="20"/>
  <c r="M403" i="20"/>
  <c r="M406" i="20"/>
  <c r="M405" i="20"/>
  <c r="AB5" i="20"/>
  <c r="M407" i="20"/>
  <c r="H404" i="20"/>
  <c r="I404" i="20" l="1"/>
  <c r="I405" i="20" s="1"/>
  <c r="I406" i="20" s="1"/>
  <c r="I407" i="20" s="1"/>
  <c r="I408" i="20" s="1"/>
  <c r="I409" i="20" s="1"/>
  <c r="I410" i="20" s="1"/>
  <c r="I411" i="20" s="1"/>
  <c r="I412" i="20" s="1"/>
  <c r="I413" i="20" s="1"/>
  <c r="I414" i="20" s="1"/>
  <c r="I415" i="20" s="1"/>
  <c r="I416" i="20" s="1"/>
  <c r="I417" i="20" s="1"/>
  <c r="I418" i="20" s="1"/>
  <c r="I419" i="20" s="1"/>
  <c r="I420" i="20" s="1"/>
  <c r="I421" i="20" s="1"/>
  <c r="I422" i="20" s="1"/>
  <c r="I423" i="20" s="1"/>
  <c r="I424" i="20" s="1"/>
  <c r="I425" i="20" s="1"/>
  <c r="I426" i="20" s="1"/>
  <c r="I427" i="20" s="1"/>
  <c r="I428" i="20" s="1"/>
  <c r="I429" i="20" s="1"/>
  <c r="I430" i="20" s="1"/>
  <c r="I431" i="20" s="1"/>
  <c r="I432" i="20" s="1"/>
  <c r="I433" i="20" s="1"/>
  <c r="I434" i="20" s="1"/>
  <c r="I435" i="20" s="1"/>
  <c r="I436" i="20" s="1"/>
  <c r="I437" i="20" s="1"/>
  <c r="I438" i="20" s="1"/>
  <c r="I439" i="20" s="1"/>
  <c r="I440" i="20" s="1"/>
  <c r="I441" i="20" s="1"/>
  <c r="I442" i="20" s="1"/>
  <c r="I443" i="20" s="1"/>
  <c r="I444" i="20" s="1"/>
  <c r="I445" i="20" s="1"/>
  <c r="I446" i="20" s="1"/>
  <c r="I447" i="20" s="1"/>
  <c r="I448" i="20" s="1"/>
  <c r="I449" i="20" s="1"/>
  <c r="I450" i="20" s="1"/>
  <c r="I451" i="20" s="1"/>
  <c r="I452" i="20" s="1"/>
  <c r="I453" i="20" s="1"/>
  <c r="I454" i="20" s="1"/>
  <c r="I455" i="20" s="1"/>
  <c r="I456" i="20" s="1"/>
  <c r="I457" i="20" s="1"/>
  <c r="I458" i="20" s="1"/>
  <c r="I459" i="20" s="1"/>
  <c r="I460" i="20" s="1"/>
  <c r="I461" i="20" s="1"/>
  <c r="I462" i="20" s="1"/>
  <c r="I463" i="20" s="1"/>
  <c r="I464" i="20" s="1"/>
  <c r="I465" i="20" s="1"/>
  <c r="I466" i="20" s="1"/>
  <c r="I467" i="20" s="1"/>
  <c r="I468" i="20" s="1"/>
  <c r="I469" i="20" s="1"/>
  <c r="I470" i="20" s="1"/>
  <c r="I471" i="20" s="1"/>
  <c r="I472" i="20" s="1"/>
  <c r="I473" i="20" s="1"/>
  <c r="I474" i="20" s="1"/>
  <c r="I475" i="20" s="1"/>
  <c r="I476" i="20" s="1"/>
  <c r="I477" i="20" s="1"/>
  <c r="I478" i="20" s="1"/>
  <c r="I479" i="20" s="1"/>
  <c r="I480" i="20" s="1"/>
  <c r="I481" i="20" s="1"/>
  <c r="I482" i="20" s="1"/>
  <c r="I483" i="20" s="1"/>
  <c r="I484" i="20" s="1"/>
  <c r="I485" i="20" s="1"/>
  <c r="I486" i="20" s="1"/>
  <c r="I487" i="20" s="1"/>
  <c r="I488" i="20" s="1"/>
  <c r="I489" i="20" s="1"/>
  <c r="I490" i="20" s="1"/>
  <c r="I491" i="20" s="1"/>
  <c r="I492" i="20" s="1"/>
  <c r="I493" i="20" s="1"/>
  <c r="I494" i="20" s="1"/>
  <c r="I495" i="20" s="1"/>
  <c r="I496" i="20" s="1"/>
  <c r="I497" i="20" s="1"/>
  <c r="I498" i="20" s="1"/>
  <c r="I499" i="20" s="1"/>
  <c r="I500" i="20" s="1"/>
  <c r="I501" i="20" s="1"/>
  <c r="I502" i="20" s="1"/>
  <c r="I503" i="20" s="1"/>
  <c r="I504" i="20" s="1"/>
  <c r="I505" i="20" s="1"/>
  <c r="I506" i="20" s="1"/>
  <c r="I507" i="20" s="1"/>
  <c r="I508" i="20" s="1"/>
  <c r="I509" i="20" s="1"/>
  <c r="I510" i="20" s="1"/>
  <c r="I511" i="20" s="1"/>
  <c r="I512" i="20" s="1"/>
  <c r="I513" i="20" s="1"/>
  <c r="I514" i="20" s="1"/>
  <c r="I515" i="20" s="1"/>
  <c r="I516" i="20" s="1"/>
  <c r="I517" i="20" s="1"/>
  <c r="I518" i="20" s="1"/>
  <c r="I519" i="20" s="1"/>
  <c r="I520" i="20" s="1"/>
  <c r="I521" i="20" s="1"/>
  <c r="I522" i="20" s="1"/>
  <c r="I523" i="20" s="1"/>
  <c r="I524" i="20" s="1"/>
  <c r="I525" i="20" s="1"/>
  <c r="I526" i="20" s="1"/>
  <c r="I527" i="20" s="1"/>
  <c r="I528" i="20" s="1"/>
  <c r="I529" i="20" s="1"/>
  <c r="I530" i="20" s="1"/>
  <c r="I531" i="20" s="1"/>
  <c r="I532" i="20" s="1"/>
  <c r="I533" i="20" s="1"/>
  <c r="I534" i="20" s="1"/>
  <c r="I535" i="20" s="1"/>
  <c r="I536" i="20" s="1"/>
  <c r="I537" i="20" s="1"/>
  <c r="I538" i="20" s="1"/>
  <c r="I539" i="20" s="1"/>
  <c r="I540" i="20" s="1"/>
  <c r="I541" i="20" s="1"/>
  <c r="I542" i="20" s="1"/>
  <c r="I543" i="20" s="1"/>
  <c r="I544" i="20" s="1"/>
  <c r="I545" i="20" s="1"/>
  <c r="I546" i="20" s="1"/>
  <c r="I547" i="20" s="1"/>
  <c r="I548" i="20" s="1"/>
  <c r="I549" i="20" s="1"/>
  <c r="I550" i="20" s="1"/>
  <c r="I551" i="20" s="1"/>
  <c r="I552" i="20" s="1"/>
  <c r="I553" i="20" s="1"/>
  <c r="I554" i="20" s="1"/>
  <c r="I555" i="20" s="1"/>
  <c r="I556" i="20" s="1"/>
  <c r="I557" i="20" s="1"/>
  <c r="I558" i="20" s="1"/>
  <c r="I559" i="20" s="1"/>
  <c r="I560" i="20" s="1"/>
  <c r="I561" i="20" s="1"/>
  <c r="I562" i="20" s="1"/>
  <c r="I563" i="20" s="1"/>
  <c r="I564" i="20" s="1"/>
  <c r="I565" i="20" s="1"/>
  <c r="I566" i="20" s="1"/>
  <c r="I567" i="20" s="1"/>
  <c r="I568" i="20" s="1"/>
  <c r="I569" i="20" s="1"/>
  <c r="I570" i="20" s="1"/>
  <c r="I571" i="20" s="1"/>
  <c r="I572" i="20" s="1"/>
  <c r="I573" i="20" s="1"/>
  <c r="I574" i="20" s="1"/>
</calcChain>
</file>

<file path=xl/sharedStrings.xml><?xml version="1.0" encoding="utf-8"?>
<sst xmlns="http://schemas.openxmlformats.org/spreadsheetml/2006/main" count="750" uniqueCount="49">
  <si>
    <t>주요자재 검사 및 수불부</t>
    <phoneticPr fontId="5" type="noConversion"/>
  </si>
  <si>
    <t xml:space="preserve">품명: </t>
    <phoneticPr fontId="5" type="noConversion"/>
  </si>
  <si>
    <t>연번</t>
    <phoneticPr fontId="5" type="noConversion"/>
  </si>
  <si>
    <t>반입일</t>
    <phoneticPr fontId="5" type="noConversion"/>
  </si>
  <si>
    <t>규격</t>
    <phoneticPr fontId="5" type="noConversion"/>
  </si>
  <si>
    <t>단위</t>
    <phoneticPr fontId="5" type="noConversion"/>
  </si>
  <si>
    <t>설계량</t>
    <phoneticPr fontId="5" type="noConversion"/>
  </si>
  <si>
    <t>반입량</t>
    <phoneticPr fontId="5" type="noConversion"/>
  </si>
  <si>
    <t>합격량</t>
    <phoneticPr fontId="5" type="noConversion"/>
  </si>
  <si>
    <t>불합격</t>
    <phoneticPr fontId="5" type="noConversion"/>
  </si>
  <si>
    <t>검수자</t>
    <phoneticPr fontId="5" type="noConversion"/>
  </si>
  <si>
    <t>금회</t>
    <phoneticPr fontId="5" type="noConversion"/>
  </si>
  <si>
    <t>누계</t>
    <phoneticPr fontId="5" type="noConversion"/>
  </si>
  <si>
    <t>불합격량</t>
    <phoneticPr fontId="5" type="noConversion"/>
  </si>
  <si>
    <t>사유</t>
    <phoneticPr fontId="5" type="noConversion"/>
  </si>
  <si>
    <t>담당감리원</t>
    <phoneticPr fontId="5" type="noConversion"/>
  </si>
  <si>
    <t>ton</t>
    <phoneticPr fontId="5" type="noConversion"/>
  </si>
  <si>
    <t>사용일</t>
    <phoneticPr fontId="5" type="noConversion"/>
  </si>
  <si>
    <t>사용량</t>
    <phoneticPr fontId="5" type="noConversion"/>
  </si>
  <si>
    <t>반출일</t>
    <phoneticPr fontId="5" type="noConversion"/>
  </si>
  <si>
    <t>반출량</t>
    <phoneticPr fontId="5" type="noConversion"/>
  </si>
  <si>
    <t>잔량</t>
    <phoneticPr fontId="5" type="noConversion"/>
  </si>
  <si>
    <t>단위 : Ton</t>
    <phoneticPr fontId="5" type="noConversion"/>
  </si>
  <si>
    <t>SHD10</t>
    <phoneticPr fontId="5" type="noConversion"/>
  </si>
  <si>
    <t>SHD13</t>
    <phoneticPr fontId="5" type="noConversion"/>
  </si>
  <si>
    <t>UHD22</t>
    <phoneticPr fontId="5" type="noConversion"/>
  </si>
  <si>
    <t>커플러</t>
    <phoneticPr fontId="2" type="noConversion"/>
  </si>
  <si>
    <t>UHD16</t>
    <phoneticPr fontId="5" type="noConversion"/>
  </si>
  <si>
    <t>UHD25</t>
    <phoneticPr fontId="5" type="noConversion"/>
  </si>
  <si>
    <t>UHD19</t>
    <phoneticPr fontId="5" type="noConversion"/>
  </si>
  <si>
    <t>단위 : EA</t>
    <phoneticPr fontId="5" type="noConversion"/>
  </si>
  <si>
    <t>EA</t>
    <phoneticPr fontId="5" type="noConversion"/>
  </si>
  <si>
    <t xml:space="preserve"> 50TON마다 밀시트 받기</t>
    <phoneticPr fontId="5" type="noConversion"/>
  </si>
  <si>
    <t>UHD29S</t>
    <phoneticPr fontId="5" type="noConversion"/>
  </si>
  <si>
    <t>1000개마다 인장시험</t>
    <phoneticPr fontId="2" type="noConversion"/>
  </si>
  <si>
    <t>ton</t>
    <phoneticPr fontId="2" type="noConversion"/>
  </si>
  <si>
    <t>SHD16</t>
    <phoneticPr fontId="5" type="noConversion"/>
  </si>
  <si>
    <t>자동입력</t>
    <phoneticPr fontId="2" type="noConversion"/>
  </si>
  <si>
    <t>고정</t>
    <phoneticPr fontId="5" type="noConversion"/>
  </si>
  <si>
    <t>자동입력</t>
    <phoneticPr fontId="5" type="noConversion"/>
  </si>
  <si>
    <t>수동</t>
    <phoneticPr fontId="5" type="noConversion"/>
  </si>
  <si>
    <t>자동입력</t>
    <phoneticPr fontId="5" type="noConversion"/>
  </si>
  <si>
    <t xml:space="preserve">고정값 </t>
    <phoneticPr fontId="5" type="noConversion"/>
  </si>
  <si>
    <t>고정값</t>
    <phoneticPr fontId="5" type="noConversion"/>
  </si>
  <si>
    <t>고정</t>
    <phoneticPr fontId="2" type="noConversion"/>
  </si>
  <si>
    <t>자동입력</t>
    <phoneticPr fontId="2" type="noConversion"/>
  </si>
  <si>
    <t>수동입력</t>
    <phoneticPr fontId="2" type="noConversion"/>
  </si>
  <si>
    <t>수식</t>
    <phoneticPr fontId="5" type="noConversion"/>
  </si>
  <si>
    <t>수식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</si>
</sst>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\'yy&quot;.&quot;\ mm&quot;.&quot;\ dd&quot;.&quot;"/>
    <numFmt numFmtId="177" formatCode="_-* #,##0.00_-;\-* #,##0.00_-;_-* &quot;-&quot;_-;_-@_-"/>
    <numFmt numFmtId="183" formatCode="_-* #,##0.000_-;\-* #,##0.000_-;_-* &quot;-&quot;_-;_-@_-"/>
    <numFmt numFmtId="184" formatCode="0.000"/>
    <numFmt numFmtId="188" formatCode="0.0000_ 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b/>
      <u/>
      <sz val="20"/>
      <name val="굴림체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굴림체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굴림체"/>
      <family val="3"/>
      <charset val="129"/>
    </font>
    <font>
      <sz val="9"/>
      <name val="맑은 고딕"/>
      <family val="3"/>
      <charset val="129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맑은 고딕"/>
      <family val="3"/>
      <charset val="129"/>
    </font>
    <font>
      <sz val="10"/>
      <name val="굴림체"/>
      <family val="3"/>
      <charset val="129"/>
    </font>
    <font>
      <sz val="9"/>
      <color theme="1"/>
      <name val="맑은 고딕"/>
      <family val="3"/>
      <charset val="129"/>
      <scheme val="minor"/>
    </font>
    <font>
      <sz val="7"/>
      <name val="굴림체"/>
      <family val="3"/>
      <charset val="129"/>
    </font>
    <font>
      <b/>
      <sz val="7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굴림체"/>
      <family val="3"/>
      <charset val="129"/>
    </font>
    <font>
      <sz val="9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/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176" fontId="7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right" vertical="center"/>
    </xf>
    <xf numFmtId="177" fontId="8" fillId="0" borderId="2" xfId="0" applyNumberFormat="1" applyFont="1" applyBorder="1" applyAlignment="1">
      <alignment horizontal="center" vertical="center"/>
    </xf>
    <xf numFmtId="41" fontId="8" fillId="0" borderId="2" xfId="0" applyNumberFormat="1" applyFont="1" applyBorder="1" applyAlignment="1">
      <alignment horizontal="right" vertical="center"/>
    </xf>
    <xf numFmtId="176" fontId="8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4" fillId="0" borderId="0" xfId="0" applyFont="1">
      <alignment vertical="center"/>
    </xf>
    <xf numFmtId="0" fontId="7" fillId="0" borderId="2" xfId="0" applyFont="1" applyBorder="1" applyAlignment="1">
      <alignment horizontal="center" vertical="center" shrinkToFit="1"/>
    </xf>
    <xf numFmtId="183" fontId="8" fillId="0" borderId="2" xfId="0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184" fontId="8" fillId="0" borderId="2" xfId="1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" fontId="8" fillId="0" borderId="2" xfId="4" applyNumberFormat="1" applyFont="1" applyBorder="1" applyAlignment="1">
      <alignment horizontal="right" vertical="center"/>
    </xf>
    <xf numFmtId="1" fontId="8" fillId="0" borderId="2" xfId="1" applyNumberFormat="1" applyFont="1" applyBorder="1" applyAlignment="1">
      <alignment horizontal="right" vertical="center"/>
    </xf>
    <xf numFmtId="1" fontId="8" fillId="0" borderId="2" xfId="1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184" fontId="3" fillId="0" borderId="2" xfId="0" applyNumberFormat="1" applyFont="1" applyBorder="1">
      <alignment vertical="center"/>
    </xf>
    <xf numFmtId="184" fontId="10" fillId="0" borderId="2" xfId="0" applyNumberFormat="1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1" fontId="3" fillId="0" borderId="2" xfId="0" applyNumberFormat="1" applyFont="1" applyBorder="1">
      <alignment vertical="center"/>
    </xf>
    <xf numFmtId="0" fontId="19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wrapText="1"/>
    </xf>
    <xf numFmtId="41" fontId="15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84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9" fillId="0" borderId="2" xfId="0" applyFont="1" applyBorder="1">
      <alignment vertical="center"/>
    </xf>
    <xf numFmtId="0" fontId="17" fillId="0" borderId="2" xfId="0" applyFont="1" applyBorder="1">
      <alignment vertical="center"/>
    </xf>
    <xf numFmtId="0" fontId="11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184" fontId="3" fillId="0" borderId="0" xfId="0" applyNumberFormat="1" applyFont="1" applyBorder="1">
      <alignment vertical="center"/>
    </xf>
    <xf numFmtId="0" fontId="17" fillId="0" borderId="0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3" applyFont="1" applyBorder="1" applyAlignment="1">
      <alignment vertical="center"/>
    </xf>
    <xf numFmtId="184" fontId="6" fillId="0" borderId="7" xfId="3" applyNumberFormat="1" applyFont="1" applyBorder="1" applyAlignment="1">
      <alignment vertical="center"/>
    </xf>
    <xf numFmtId="0" fontId="18" fillId="0" borderId="7" xfId="0" applyFont="1" applyBorder="1">
      <alignment vertical="center"/>
    </xf>
    <xf numFmtId="0" fontId="11" fillId="0" borderId="2" xfId="0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88" fontId="3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84" fontId="25" fillId="0" borderId="2" xfId="0" applyNumberFormat="1" applyFont="1" applyBorder="1">
      <alignment vertical="center"/>
    </xf>
    <xf numFmtId="184" fontId="15" fillId="0" borderId="2" xfId="0" applyNumberFormat="1" applyFont="1" applyBorder="1" applyAlignment="1">
      <alignment horizontal="center" vertical="center"/>
    </xf>
    <xf numFmtId="184" fontId="15" fillId="0" borderId="2" xfId="4" applyNumberFormat="1" applyFont="1" applyBorder="1" applyAlignment="1">
      <alignment horizontal="right" vertical="center"/>
    </xf>
    <xf numFmtId="184" fontId="15" fillId="0" borderId="2" xfId="1" applyNumberFormat="1" applyFont="1" applyBorder="1" applyAlignment="1">
      <alignment horizontal="right" vertical="center"/>
    </xf>
    <xf numFmtId="184" fontId="20" fillId="0" borderId="2" xfId="0" applyNumberFormat="1" applyFont="1" applyBorder="1" applyAlignment="1">
      <alignment horizontal="right" vertical="center"/>
    </xf>
    <xf numFmtId="0" fontId="20" fillId="0" borderId="2" xfId="0" applyNumberFormat="1" applyFont="1" applyBorder="1" applyAlignment="1">
      <alignment vertical="center" wrapText="1"/>
    </xf>
    <xf numFmtId="184" fontId="23" fillId="0" borderId="2" xfId="0" applyNumberFormat="1" applyFont="1" applyBorder="1">
      <alignment vertical="center"/>
    </xf>
    <xf numFmtId="0" fontId="20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184" fontId="20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" fontId="24" fillId="0" borderId="0" xfId="0" applyNumberFormat="1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9" fillId="0" borderId="0" xfId="0" applyFont="1" applyBorder="1">
      <alignment vertical="center"/>
    </xf>
    <xf numFmtId="184" fontId="25" fillId="0" borderId="0" xfId="0" applyNumberFormat="1" applyFont="1" applyBorder="1">
      <alignment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84" fontId="6" fillId="0" borderId="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84" fontId="15" fillId="0" borderId="15" xfId="0" applyNumberFormat="1" applyFont="1" applyBorder="1" applyAlignment="1">
      <alignment horizontal="center" vertical="center"/>
    </xf>
    <xf numFmtId="184" fontId="15" fillId="0" borderId="2" xfId="0" applyNumberFormat="1" applyFont="1" applyBorder="1" applyAlignment="1">
      <alignment horizontal="center" vertical="center"/>
    </xf>
    <xf numFmtId="184" fontId="6" fillId="0" borderId="15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84" fontId="15" fillId="0" borderId="7" xfId="3" applyNumberFormat="1" applyFont="1" applyBorder="1" applyAlignment="1">
      <alignment horizontal="center" vertical="center"/>
    </xf>
    <xf numFmtId="184" fontId="6" fillId="0" borderId="7" xfId="3" applyNumberFormat="1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184" fontId="3" fillId="0" borderId="0" xfId="0" applyNumberFormat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</cellXfs>
  <cellStyles count="5">
    <cellStyle name="쉼표 [0]" xfId="1" builtinId="6"/>
    <cellStyle name="쉼표 [0] 2" xfId="4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150"/>
  <sheetViews>
    <sheetView view="pageBreakPreview" zoomScale="85" zoomScaleNormal="100" zoomScaleSheetLayoutView="85" workbookViewId="0">
      <selection activeCell="A5" sqref="A5:A6"/>
    </sheetView>
  </sheetViews>
  <sheetFormatPr defaultColWidth="8.8984375" defaultRowHeight="14.4" x14ac:dyDescent="0.4"/>
  <cols>
    <col min="1" max="1" width="5.19921875" style="29" customWidth="1"/>
    <col min="2" max="2" width="5.19921875" style="24" customWidth="1"/>
    <col min="3" max="3" width="10.8984375" style="24" customWidth="1"/>
    <col min="4" max="4" width="16.19921875" style="24" customWidth="1"/>
    <col min="5" max="5" width="5.69921875" style="24" customWidth="1"/>
    <col min="6" max="6" width="9.69921875" style="24" customWidth="1"/>
    <col min="7" max="9" width="9.69921875" style="25" customWidth="1"/>
    <col min="10" max="10" width="9.69921875" style="24" customWidth="1"/>
    <col min="11" max="11" width="15.69921875" style="24" customWidth="1"/>
    <col min="12" max="12" width="10.69921875" style="24" customWidth="1"/>
    <col min="13" max="16" width="9.69921875" style="24" customWidth="1"/>
    <col min="17" max="18" width="12.69921875" style="43" customWidth="1"/>
    <col min="19" max="19" width="9.69921875" style="1" customWidth="1"/>
    <col min="20" max="20" width="12.3984375" style="1" bestFit="1" customWidth="1"/>
    <col min="21" max="21" width="9.8984375" style="14" bestFit="1" customWidth="1"/>
    <col min="22" max="22" width="8.8984375" style="14"/>
    <col min="23" max="26" width="8.8984375" style="1"/>
    <col min="27" max="27" width="10.5" style="1" bestFit="1" customWidth="1"/>
    <col min="28" max="259" width="8.8984375" style="1"/>
    <col min="260" max="261" width="5.19921875" style="1" customWidth="1"/>
    <col min="262" max="262" width="10.8984375" style="1" customWidth="1"/>
    <col min="263" max="263" width="16.19921875" style="1" customWidth="1"/>
    <col min="264" max="264" width="5.69921875" style="1" customWidth="1"/>
    <col min="265" max="269" width="9.69921875" style="1" customWidth="1"/>
    <col min="270" max="270" width="15.69921875" style="1" customWidth="1"/>
    <col min="271" max="272" width="9.69921875" style="1" customWidth="1"/>
    <col min="273" max="274" width="12.69921875" style="1" customWidth="1"/>
    <col min="275" max="275" width="9.69921875" style="1" customWidth="1"/>
    <col min="276" max="515" width="8.8984375" style="1"/>
    <col min="516" max="517" width="5.19921875" style="1" customWidth="1"/>
    <col min="518" max="518" width="10.8984375" style="1" customWidth="1"/>
    <col min="519" max="519" width="16.19921875" style="1" customWidth="1"/>
    <col min="520" max="520" width="5.69921875" style="1" customWidth="1"/>
    <col min="521" max="525" width="9.69921875" style="1" customWidth="1"/>
    <col min="526" max="526" width="15.69921875" style="1" customWidth="1"/>
    <col min="527" max="528" width="9.69921875" style="1" customWidth="1"/>
    <col min="529" max="530" width="12.69921875" style="1" customWidth="1"/>
    <col min="531" max="531" width="9.69921875" style="1" customWidth="1"/>
    <col min="532" max="771" width="8.8984375" style="1"/>
    <col min="772" max="773" width="5.19921875" style="1" customWidth="1"/>
    <col min="774" max="774" width="10.8984375" style="1" customWidth="1"/>
    <col min="775" max="775" width="16.19921875" style="1" customWidth="1"/>
    <col min="776" max="776" width="5.69921875" style="1" customWidth="1"/>
    <col min="777" max="781" width="9.69921875" style="1" customWidth="1"/>
    <col min="782" max="782" width="15.69921875" style="1" customWidth="1"/>
    <col min="783" max="784" width="9.69921875" style="1" customWidth="1"/>
    <col min="785" max="786" width="12.69921875" style="1" customWidth="1"/>
    <col min="787" max="787" width="9.69921875" style="1" customWidth="1"/>
    <col min="788" max="1027" width="8.8984375" style="1"/>
    <col min="1028" max="1029" width="5.19921875" style="1" customWidth="1"/>
    <col min="1030" max="1030" width="10.8984375" style="1" customWidth="1"/>
    <col min="1031" max="1031" width="16.19921875" style="1" customWidth="1"/>
    <col min="1032" max="1032" width="5.69921875" style="1" customWidth="1"/>
    <col min="1033" max="1037" width="9.69921875" style="1" customWidth="1"/>
    <col min="1038" max="1038" width="15.69921875" style="1" customWidth="1"/>
    <col min="1039" max="1040" width="9.69921875" style="1" customWidth="1"/>
    <col min="1041" max="1042" width="12.69921875" style="1" customWidth="1"/>
    <col min="1043" max="1043" width="9.69921875" style="1" customWidth="1"/>
    <col min="1044" max="1283" width="8.8984375" style="1"/>
    <col min="1284" max="1285" width="5.19921875" style="1" customWidth="1"/>
    <col min="1286" max="1286" width="10.8984375" style="1" customWidth="1"/>
    <col min="1287" max="1287" width="16.19921875" style="1" customWidth="1"/>
    <col min="1288" max="1288" width="5.69921875" style="1" customWidth="1"/>
    <col min="1289" max="1293" width="9.69921875" style="1" customWidth="1"/>
    <col min="1294" max="1294" width="15.69921875" style="1" customWidth="1"/>
    <col min="1295" max="1296" width="9.69921875" style="1" customWidth="1"/>
    <col min="1297" max="1298" width="12.69921875" style="1" customWidth="1"/>
    <col min="1299" max="1299" width="9.69921875" style="1" customWidth="1"/>
    <col min="1300" max="1539" width="8.8984375" style="1"/>
    <col min="1540" max="1541" width="5.19921875" style="1" customWidth="1"/>
    <col min="1542" max="1542" width="10.8984375" style="1" customWidth="1"/>
    <col min="1543" max="1543" width="16.19921875" style="1" customWidth="1"/>
    <col min="1544" max="1544" width="5.69921875" style="1" customWidth="1"/>
    <col min="1545" max="1549" width="9.69921875" style="1" customWidth="1"/>
    <col min="1550" max="1550" width="15.69921875" style="1" customWidth="1"/>
    <col min="1551" max="1552" width="9.69921875" style="1" customWidth="1"/>
    <col min="1553" max="1554" width="12.69921875" style="1" customWidth="1"/>
    <col min="1555" max="1555" width="9.69921875" style="1" customWidth="1"/>
    <col min="1556" max="1795" width="8.8984375" style="1"/>
    <col min="1796" max="1797" width="5.19921875" style="1" customWidth="1"/>
    <col min="1798" max="1798" width="10.8984375" style="1" customWidth="1"/>
    <col min="1799" max="1799" width="16.19921875" style="1" customWidth="1"/>
    <col min="1800" max="1800" width="5.69921875" style="1" customWidth="1"/>
    <col min="1801" max="1805" width="9.69921875" style="1" customWidth="1"/>
    <col min="1806" max="1806" width="15.69921875" style="1" customWidth="1"/>
    <col min="1807" max="1808" width="9.69921875" style="1" customWidth="1"/>
    <col min="1809" max="1810" width="12.69921875" style="1" customWidth="1"/>
    <col min="1811" max="1811" width="9.69921875" style="1" customWidth="1"/>
    <col min="1812" max="2051" width="8.8984375" style="1"/>
    <col min="2052" max="2053" width="5.19921875" style="1" customWidth="1"/>
    <col min="2054" max="2054" width="10.8984375" style="1" customWidth="1"/>
    <col min="2055" max="2055" width="16.19921875" style="1" customWidth="1"/>
    <col min="2056" max="2056" width="5.69921875" style="1" customWidth="1"/>
    <col min="2057" max="2061" width="9.69921875" style="1" customWidth="1"/>
    <col min="2062" max="2062" width="15.69921875" style="1" customWidth="1"/>
    <col min="2063" max="2064" width="9.69921875" style="1" customWidth="1"/>
    <col min="2065" max="2066" width="12.69921875" style="1" customWidth="1"/>
    <col min="2067" max="2067" width="9.69921875" style="1" customWidth="1"/>
    <col min="2068" max="2307" width="8.8984375" style="1"/>
    <col min="2308" max="2309" width="5.19921875" style="1" customWidth="1"/>
    <col min="2310" max="2310" width="10.8984375" style="1" customWidth="1"/>
    <col min="2311" max="2311" width="16.19921875" style="1" customWidth="1"/>
    <col min="2312" max="2312" width="5.69921875" style="1" customWidth="1"/>
    <col min="2313" max="2317" width="9.69921875" style="1" customWidth="1"/>
    <col min="2318" max="2318" width="15.69921875" style="1" customWidth="1"/>
    <col min="2319" max="2320" width="9.69921875" style="1" customWidth="1"/>
    <col min="2321" max="2322" width="12.69921875" style="1" customWidth="1"/>
    <col min="2323" max="2323" width="9.69921875" style="1" customWidth="1"/>
    <col min="2324" max="2563" width="8.8984375" style="1"/>
    <col min="2564" max="2565" width="5.19921875" style="1" customWidth="1"/>
    <col min="2566" max="2566" width="10.8984375" style="1" customWidth="1"/>
    <col min="2567" max="2567" width="16.19921875" style="1" customWidth="1"/>
    <col min="2568" max="2568" width="5.69921875" style="1" customWidth="1"/>
    <col min="2569" max="2573" width="9.69921875" style="1" customWidth="1"/>
    <col min="2574" max="2574" width="15.69921875" style="1" customWidth="1"/>
    <col min="2575" max="2576" width="9.69921875" style="1" customWidth="1"/>
    <col min="2577" max="2578" width="12.69921875" style="1" customWidth="1"/>
    <col min="2579" max="2579" width="9.69921875" style="1" customWidth="1"/>
    <col min="2580" max="2819" width="8.8984375" style="1"/>
    <col min="2820" max="2821" width="5.19921875" style="1" customWidth="1"/>
    <col min="2822" max="2822" width="10.8984375" style="1" customWidth="1"/>
    <col min="2823" max="2823" width="16.19921875" style="1" customWidth="1"/>
    <col min="2824" max="2824" width="5.69921875" style="1" customWidth="1"/>
    <col min="2825" max="2829" width="9.69921875" style="1" customWidth="1"/>
    <col min="2830" max="2830" width="15.69921875" style="1" customWidth="1"/>
    <col min="2831" max="2832" width="9.69921875" style="1" customWidth="1"/>
    <col min="2833" max="2834" width="12.69921875" style="1" customWidth="1"/>
    <col min="2835" max="2835" width="9.69921875" style="1" customWidth="1"/>
    <col min="2836" max="3075" width="8.8984375" style="1"/>
    <col min="3076" max="3077" width="5.19921875" style="1" customWidth="1"/>
    <col min="3078" max="3078" width="10.8984375" style="1" customWidth="1"/>
    <col min="3079" max="3079" width="16.19921875" style="1" customWidth="1"/>
    <col min="3080" max="3080" width="5.69921875" style="1" customWidth="1"/>
    <col min="3081" max="3085" width="9.69921875" style="1" customWidth="1"/>
    <col min="3086" max="3086" width="15.69921875" style="1" customWidth="1"/>
    <col min="3087" max="3088" width="9.69921875" style="1" customWidth="1"/>
    <col min="3089" max="3090" width="12.69921875" style="1" customWidth="1"/>
    <col min="3091" max="3091" width="9.69921875" style="1" customWidth="1"/>
    <col min="3092" max="3331" width="8.8984375" style="1"/>
    <col min="3332" max="3333" width="5.19921875" style="1" customWidth="1"/>
    <col min="3334" max="3334" width="10.8984375" style="1" customWidth="1"/>
    <col min="3335" max="3335" width="16.19921875" style="1" customWidth="1"/>
    <col min="3336" max="3336" width="5.69921875" style="1" customWidth="1"/>
    <col min="3337" max="3341" width="9.69921875" style="1" customWidth="1"/>
    <col min="3342" max="3342" width="15.69921875" style="1" customWidth="1"/>
    <col min="3343" max="3344" width="9.69921875" style="1" customWidth="1"/>
    <col min="3345" max="3346" width="12.69921875" style="1" customWidth="1"/>
    <col min="3347" max="3347" width="9.69921875" style="1" customWidth="1"/>
    <col min="3348" max="3587" width="8.8984375" style="1"/>
    <col min="3588" max="3589" width="5.19921875" style="1" customWidth="1"/>
    <col min="3590" max="3590" width="10.8984375" style="1" customWidth="1"/>
    <col min="3591" max="3591" width="16.19921875" style="1" customWidth="1"/>
    <col min="3592" max="3592" width="5.69921875" style="1" customWidth="1"/>
    <col min="3593" max="3597" width="9.69921875" style="1" customWidth="1"/>
    <col min="3598" max="3598" width="15.69921875" style="1" customWidth="1"/>
    <col min="3599" max="3600" width="9.69921875" style="1" customWidth="1"/>
    <col min="3601" max="3602" width="12.69921875" style="1" customWidth="1"/>
    <col min="3603" max="3603" width="9.69921875" style="1" customWidth="1"/>
    <col min="3604" max="3843" width="8.8984375" style="1"/>
    <col min="3844" max="3845" width="5.19921875" style="1" customWidth="1"/>
    <col min="3846" max="3846" width="10.8984375" style="1" customWidth="1"/>
    <col min="3847" max="3847" width="16.19921875" style="1" customWidth="1"/>
    <col min="3848" max="3848" width="5.69921875" style="1" customWidth="1"/>
    <col min="3849" max="3853" width="9.69921875" style="1" customWidth="1"/>
    <col min="3854" max="3854" width="15.69921875" style="1" customWidth="1"/>
    <col min="3855" max="3856" width="9.69921875" style="1" customWidth="1"/>
    <col min="3857" max="3858" width="12.69921875" style="1" customWidth="1"/>
    <col min="3859" max="3859" width="9.69921875" style="1" customWidth="1"/>
    <col min="3860" max="4099" width="8.8984375" style="1"/>
    <col min="4100" max="4101" width="5.19921875" style="1" customWidth="1"/>
    <col min="4102" max="4102" width="10.8984375" style="1" customWidth="1"/>
    <col min="4103" max="4103" width="16.19921875" style="1" customWidth="1"/>
    <col min="4104" max="4104" width="5.69921875" style="1" customWidth="1"/>
    <col min="4105" max="4109" width="9.69921875" style="1" customWidth="1"/>
    <col min="4110" max="4110" width="15.69921875" style="1" customWidth="1"/>
    <col min="4111" max="4112" width="9.69921875" style="1" customWidth="1"/>
    <col min="4113" max="4114" width="12.69921875" style="1" customWidth="1"/>
    <col min="4115" max="4115" width="9.69921875" style="1" customWidth="1"/>
    <col min="4116" max="4355" width="8.8984375" style="1"/>
    <col min="4356" max="4357" width="5.19921875" style="1" customWidth="1"/>
    <col min="4358" max="4358" width="10.8984375" style="1" customWidth="1"/>
    <col min="4359" max="4359" width="16.19921875" style="1" customWidth="1"/>
    <col min="4360" max="4360" width="5.69921875" style="1" customWidth="1"/>
    <col min="4361" max="4365" width="9.69921875" style="1" customWidth="1"/>
    <col min="4366" max="4366" width="15.69921875" style="1" customWidth="1"/>
    <col min="4367" max="4368" width="9.69921875" style="1" customWidth="1"/>
    <col min="4369" max="4370" width="12.69921875" style="1" customWidth="1"/>
    <col min="4371" max="4371" width="9.69921875" style="1" customWidth="1"/>
    <col min="4372" max="4611" width="8.8984375" style="1"/>
    <col min="4612" max="4613" width="5.19921875" style="1" customWidth="1"/>
    <col min="4614" max="4614" width="10.8984375" style="1" customWidth="1"/>
    <col min="4615" max="4615" width="16.19921875" style="1" customWidth="1"/>
    <col min="4616" max="4616" width="5.69921875" style="1" customWidth="1"/>
    <col min="4617" max="4621" width="9.69921875" style="1" customWidth="1"/>
    <col min="4622" max="4622" width="15.69921875" style="1" customWidth="1"/>
    <col min="4623" max="4624" width="9.69921875" style="1" customWidth="1"/>
    <col min="4625" max="4626" width="12.69921875" style="1" customWidth="1"/>
    <col min="4627" max="4627" width="9.69921875" style="1" customWidth="1"/>
    <col min="4628" max="4867" width="8.8984375" style="1"/>
    <col min="4868" max="4869" width="5.19921875" style="1" customWidth="1"/>
    <col min="4870" max="4870" width="10.8984375" style="1" customWidth="1"/>
    <col min="4871" max="4871" width="16.19921875" style="1" customWidth="1"/>
    <col min="4872" max="4872" width="5.69921875" style="1" customWidth="1"/>
    <col min="4873" max="4877" width="9.69921875" style="1" customWidth="1"/>
    <col min="4878" max="4878" width="15.69921875" style="1" customWidth="1"/>
    <col min="4879" max="4880" width="9.69921875" style="1" customWidth="1"/>
    <col min="4881" max="4882" width="12.69921875" style="1" customWidth="1"/>
    <col min="4883" max="4883" width="9.69921875" style="1" customWidth="1"/>
    <col min="4884" max="5123" width="8.8984375" style="1"/>
    <col min="5124" max="5125" width="5.19921875" style="1" customWidth="1"/>
    <col min="5126" max="5126" width="10.8984375" style="1" customWidth="1"/>
    <col min="5127" max="5127" width="16.19921875" style="1" customWidth="1"/>
    <col min="5128" max="5128" width="5.69921875" style="1" customWidth="1"/>
    <col min="5129" max="5133" width="9.69921875" style="1" customWidth="1"/>
    <col min="5134" max="5134" width="15.69921875" style="1" customWidth="1"/>
    <col min="5135" max="5136" width="9.69921875" style="1" customWidth="1"/>
    <col min="5137" max="5138" width="12.69921875" style="1" customWidth="1"/>
    <col min="5139" max="5139" width="9.69921875" style="1" customWidth="1"/>
    <col min="5140" max="5379" width="8.8984375" style="1"/>
    <col min="5380" max="5381" width="5.19921875" style="1" customWidth="1"/>
    <col min="5382" max="5382" width="10.8984375" style="1" customWidth="1"/>
    <col min="5383" max="5383" width="16.19921875" style="1" customWidth="1"/>
    <col min="5384" max="5384" width="5.69921875" style="1" customWidth="1"/>
    <col min="5385" max="5389" width="9.69921875" style="1" customWidth="1"/>
    <col min="5390" max="5390" width="15.69921875" style="1" customWidth="1"/>
    <col min="5391" max="5392" width="9.69921875" style="1" customWidth="1"/>
    <col min="5393" max="5394" width="12.69921875" style="1" customWidth="1"/>
    <col min="5395" max="5395" width="9.69921875" style="1" customWidth="1"/>
    <col min="5396" max="5635" width="8.8984375" style="1"/>
    <col min="5636" max="5637" width="5.19921875" style="1" customWidth="1"/>
    <col min="5638" max="5638" width="10.8984375" style="1" customWidth="1"/>
    <col min="5639" max="5639" width="16.19921875" style="1" customWidth="1"/>
    <col min="5640" max="5640" width="5.69921875" style="1" customWidth="1"/>
    <col min="5641" max="5645" width="9.69921875" style="1" customWidth="1"/>
    <col min="5646" max="5646" width="15.69921875" style="1" customWidth="1"/>
    <col min="5647" max="5648" width="9.69921875" style="1" customWidth="1"/>
    <col min="5649" max="5650" width="12.69921875" style="1" customWidth="1"/>
    <col min="5651" max="5651" width="9.69921875" style="1" customWidth="1"/>
    <col min="5652" max="5891" width="8.8984375" style="1"/>
    <col min="5892" max="5893" width="5.19921875" style="1" customWidth="1"/>
    <col min="5894" max="5894" width="10.8984375" style="1" customWidth="1"/>
    <col min="5895" max="5895" width="16.19921875" style="1" customWidth="1"/>
    <col min="5896" max="5896" width="5.69921875" style="1" customWidth="1"/>
    <col min="5897" max="5901" width="9.69921875" style="1" customWidth="1"/>
    <col min="5902" max="5902" width="15.69921875" style="1" customWidth="1"/>
    <col min="5903" max="5904" width="9.69921875" style="1" customWidth="1"/>
    <col min="5905" max="5906" width="12.69921875" style="1" customWidth="1"/>
    <col min="5907" max="5907" width="9.69921875" style="1" customWidth="1"/>
    <col min="5908" max="6147" width="8.8984375" style="1"/>
    <col min="6148" max="6149" width="5.19921875" style="1" customWidth="1"/>
    <col min="6150" max="6150" width="10.8984375" style="1" customWidth="1"/>
    <col min="6151" max="6151" width="16.19921875" style="1" customWidth="1"/>
    <col min="6152" max="6152" width="5.69921875" style="1" customWidth="1"/>
    <col min="6153" max="6157" width="9.69921875" style="1" customWidth="1"/>
    <col min="6158" max="6158" width="15.69921875" style="1" customWidth="1"/>
    <col min="6159" max="6160" width="9.69921875" style="1" customWidth="1"/>
    <col min="6161" max="6162" width="12.69921875" style="1" customWidth="1"/>
    <col min="6163" max="6163" width="9.69921875" style="1" customWidth="1"/>
    <col min="6164" max="6403" width="8.8984375" style="1"/>
    <col min="6404" max="6405" width="5.19921875" style="1" customWidth="1"/>
    <col min="6406" max="6406" width="10.8984375" style="1" customWidth="1"/>
    <col min="6407" max="6407" width="16.19921875" style="1" customWidth="1"/>
    <col min="6408" max="6408" width="5.69921875" style="1" customWidth="1"/>
    <col min="6409" max="6413" width="9.69921875" style="1" customWidth="1"/>
    <col min="6414" max="6414" width="15.69921875" style="1" customWidth="1"/>
    <col min="6415" max="6416" width="9.69921875" style="1" customWidth="1"/>
    <col min="6417" max="6418" width="12.69921875" style="1" customWidth="1"/>
    <col min="6419" max="6419" width="9.69921875" style="1" customWidth="1"/>
    <col min="6420" max="6659" width="8.8984375" style="1"/>
    <col min="6660" max="6661" width="5.19921875" style="1" customWidth="1"/>
    <col min="6662" max="6662" width="10.8984375" style="1" customWidth="1"/>
    <col min="6663" max="6663" width="16.19921875" style="1" customWidth="1"/>
    <col min="6664" max="6664" width="5.69921875" style="1" customWidth="1"/>
    <col min="6665" max="6669" width="9.69921875" style="1" customWidth="1"/>
    <col min="6670" max="6670" width="15.69921875" style="1" customWidth="1"/>
    <col min="6671" max="6672" width="9.69921875" style="1" customWidth="1"/>
    <col min="6673" max="6674" width="12.69921875" style="1" customWidth="1"/>
    <col min="6675" max="6675" width="9.69921875" style="1" customWidth="1"/>
    <col min="6676" max="6915" width="8.8984375" style="1"/>
    <col min="6916" max="6917" width="5.19921875" style="1" customWidth="1"/>
    <col min="6918" max="6918" width="10.8984375" style="1" customWidth="1"/>
    <col min="6919" max="6919" width="16.19921875" style="1" customWidth="1"/>
    <col min="6920" max="6920" width="5.69921875" style="1" customWidth="1"/>
    <col min="6921" max="6925" width="9.69921875" style="1" customWidth="1"/>
    <col min="6926" max="6926" width="15.69921875" style="1" customWidth="1"/>
    <col min="6927" max="6928" width="9.69921875" style="1" customWidth="1"/>
    <col min="6929" max="6930" width="12.69921875" style="1" customWidth="1"/>
    <col min="6931" max="6931" width="9.69921875" style="1" customWidth="1"/>
    <col min="6932" max="7171" width="8.8984375" style="1"/>
    <col min="7172" max="7173" width="5.19921875" style="1" customWidth="1"/>
    <col min="7174" max="7174" width="10.8984375" style="1" customWidth="1"/>
    <col min="7175" max="7175" width="16.19921875" style="1" customWidth="1"/>
    <col min="7176" max="7176" width="5.69921875" style="1" customWidth="1"/>
    <col min="7177" max="7181" width="9.69921875" style="1" customWidth="1"/>
    <col min="7182" max="7182" width="15.69921875" style="1" customWidth="1"/>
    <col min="7183" max="7184" width="9.69921875" style="1" customWidth="1"/>
    <col min="7185" max="7186" width="12.69921875" style="1" customWidth="1"/>
    <col min="7187" max="7187" width="9.69921875" style="1" customWidth="1"/>
    <col min="7188" max="7427" width="8.8984375" style="1"/>
    <col min="7428" max="7429" width="5.19921875" style="1" customWidth="1"/>
    <col min="7430" max="7430" width="10.8984375" style="1" customWidth="1"/>
    <col min="7431" max="7431" width="16.19921875" style="1" customWidth="1"/>
    <col min="7432" max="7432" width="5.69921875" style="1" customWidth="1"/>
    <col min="7433" max="7437" width="9.69921875" style="1" customWidth="1"/>
    <col min="7438" max="7438" width="15.69921875" style="1" customWidth="1"/>
    <col min="7439" max="7440" width="9.69921875" style="1" customWidth="1"/>
    <col min="7441" max="7442" width="12.69921875" style="1" customWidth="1"/>
    <col min="7443" max="7443" width="9.69921875" style="1" customWidth="1"/>
    <col min="7444" max="7683" width="8.8984375" style="1"/>
    <col min="7684" max="7685" width="5.19921875" style="1" customWidth="1"/>
    <col min="7686" max="7686" width="10.8984375" style="1" customWidth="1"/>
    <col min="7687" max="7687" width="16.19921875" style="1" customWidth="1"/>
    <col min="7688" max="7688" width="5.69921875" style="1" customWidth="1"/>
    <col min="7689" max="7693" width="9.69921875" style="1" customWidth="1"/>
    <col min="7694" max="7694" width="15.69921875" style="1" customWidth="1"/>
    <col min="7695" max="7696" width="9.69921875" style="1" customWidth="1"/>
    <col min="7697" max="7698" width="12.69921875" style="1" customWidth="1"/>
    <col min="7699" max="7699" width="9.69921875" style="1" customWidth="1"/>
    <col min="7700" max="7939" width="8.8984375" style="1"/>
    <col min="7940" max="7941" width="5.19921875" style="1" customWidth="1"/>
    <col min="7942" max="7942" width="10.8984375" style="1" customWidth="1"/>
    <col min="7943" max="7943" width="16.19921875" style="1" customWidth="1"/>
    <col min="7944" max="7944" width="5.69921875" style="1" customWidth="1"/>
    <col min="7945" max="7949" width="9.69921875" style="1" customWidth="1"/>
    <col min="7950" max="7950" width="15.69921875" style="1" customWidth="1"/>
    <col min="7951" max="7952" width="9.69921875" style="1" customWidth="1"/>
    <col min="7953" max="7954" width="12.69921875" style="1" customWidth="1"/>
    <col min="7955" max="7955" width="9.69921875" style="1" customWidth="1"/>
    <col min="7956" max="8195" width="8.8984375" style="1"/>
    <col min="8196" max="8197" width="5.19921875" style="1" customWidth="1"/>
    <col min="8198" max="8198" width="10.8984375" style="1" customWidth="1"/>
    <col min="8199" max="8199" width="16.19921875" style="1" customWidth="1"/>
    <col min="8200" max="8200" width="5.69921875" style="1" customWidth="1"/>
    <col min="8201" max="8205" width="9.69921875" style="1" customWidth="1"/>
    <col min="8206" max="8206" width="15.69921875" style="1" customWidth="1"/>
    <col min="8207" max="8208" width="9.69921875" style="1" customWidth="1"/>
    <col min="8209" max="8210" width="12.69921875" style="1" customWidth="1"/>
    <col min="8211" max="8211" width="9.69921875" style="1" customWidth="1"/>
    <col min="8212" max="8451" width="8.8984375" style="1"/>
    <col min="8452" max="8453" width="5.19921875" style="1" customWidth="1"/>
    <col min="8454" max="8454" width="10.8984375" style="1" customWidth="1"/>
    <col min="8455" max="8455" width="16.19921875" style="1" customWidth="1"/>
    <col min="8456" max="8456" width="5.69921875" style="1" customWidth="1"/>
    <col min="8457" max="8461" width="9.69921875" style="1" customWidth="1"/>
    <col min="8462" max="8462" width="15.69921875" style="1" customWidth="1"/>
    <col min="8463" max="8464" width="9.69921875" style="1" customWidth="1"/>
    <col min="8465" max="8466" width="12.69921875" style="1" customWidth="1"/>
    <col min="8467" max="8467" width="9.69921875" style="1" customWidth="1"/>
    <col min="8468" max="8707" width="8.8984375" style="1"/>
    <col min="8708" max="8709" width="5.19921875" style="1" customWidth="1"/>
    <col min="8710" max="8710" width="10.8984375" style="1" customWidth="1"/>
    <col min="8711" max="8711" width="16.19921875" style="1" customWidth="1"/>
    <col min="8712" max="8712" width="5.69921875" style="1" customWidth="1"/>
    <col min="8713" max="8717" width="9.69921875" style="1" customWidth="1"/>
    <col min="8718" max="8718" width="15.69921875" style="1" customWidth="1"/>
    <col min="8719" max="8720" width="9.69921875" style="1" customWidth="1"/>
    <col min="8721" max="8722" width="12.69921875" style="1" customWidth="1"/>
    <col min="8723" max="8723" width="9.69921875" style="1" customWidth="1"/>
    <col min="8724" max="8963" width="8.8984375" style="1"/>
    <col min="8964" max="8965" width="5.19921875" style="1" customWidth="1"/>
    <col min="8966" max="8966" width="10.8984375" style="1" customWidth="1"/>
    <col min="8967" max="8967" width="16.19921875" style="1" customWidth="1"/>
    <col min="8968" max="8968" width="5.69921875" style="1" customWidth="1"/>
    <col min="8969" max="8973" width="9.69921875" style="1" customWidth="1"/>
    <col min="8974" max="8974" width="15.69921875" style="1" customWidth="1"/>
    <col min="8975" max="8976" width="9.69921875" style="1" customWidth="1"/>
    <col min="8977" max="8978" width="12.69921875" style="1" customWidth="1"/>
    <col min="8979" max="8979" width="9.69921875" style="1" customWidth="1"/>
    <col min="8980" max="9219" width="8.8984375" style="1"/>
    <col min="9220" max="9221" width="5.19921875" style="1" customWidth="1"/>
    <col min="9222" max="9222" width="10.8984375" style="1" customWidth="1"/>
    <col min="9223" max="9223" width="16.19921875" style="1" customWidth="1"/>
    <col min="9224" max="9224" width="5.69921875" style="1" customWidth="1"/>
    <col min="9225" max="9229" width="9.69921875" style="1" customWidth="1"/>
    <col min="9230" max="9230" width="15.69921875" style="1" customWidth="1"/>
    <col min="9231" max="9232" width="9.69921875" style="1" customWidth="1"/>
    <col min="9233" max="9234" width="12.69921875" style="1" customWidth="1"/>
    <col min="9235" max="9235" width="9.69921875" style="1" customWidth="1"/>
    <col min="9236" max="9475" width="8.8984375" style="1"/>
    <col min="9476" max="9477" width="5.19921875" style="1" customWidth="1"/>
    <col min="9478" max="9478" width="10.8984375" style="1" customWidth="1"/>
    <col min="9479" max="9479" width="16.19921875" style="1" customWidth="1"/>
    <col min="9480" max="9480" width="5.69921875" style="1" customWidth="1"/>
    <col min="9481" max="9485" width="9.69921875" style="1" customWidth="1"/>
    <col min="9486" max="9486" width="15.69921875" style="1" customWidth="1"/>
    <col min="9487" max="9488" width="9.69921875" style="1" customWidth="1"/>
    <col min="9489" max="9490" width="12.69921875" style="1" customWidth="1"/>
    <col min="9491" max="9491" width="9.69921875" style="1" customWidth="1"/>
    <col min="9492" max="9731" width="8.8984375" style="1"/>
    <col min="9732" max="9733" width="5.19921875" style="1" customWidth="1"/>
    <col min="9734" max="9734" width="10.8984375" style="1" customWidth="1"/>
    <col min="9735" max="9735" width="16.19921875" style="1" customWidth="1"/>
    <col min="9736" max="9736" width="5.69921875" style="1" customWidth="1"/>
    <col min="9737" max="9741" width="9.69921875" style="1" customWidth="1"/>
    <col min="9742" max="9742" width="15.69921875" style="1" customWidth="1"/>
    <col min="9743" max="9744" width="9.69921875" style="1" customWidth="1"/>
    <col min="9745" max="9746" width="12.69921875" style="1" customWidth="1"/>
    <col min="9747" max="9747" width="9.69921875" style="1" customWidth="1"/>
    <col min="9748" max="9987" width="8.8984375" style="1"/>
    <col min="9988" max="9989" width="5.19921875" style="1" customWidth="1"/>
    <col min="9990" max="9990" width="10.8984375" style="1" customWidth="1"/>
    <col min="9991" max="9991" width="16.19921875" style="1" customWidth="1"/>
    <col min="9992" max="9992" width="5.69921875" style="1" customWidth="1"/>
    <col min="9993" max="9997" width="9.69921875" style="1" customWidth="1"/>
    <col min="9998" max="9998" width="15.69921875" style="1" customWidth="1"/>
    <col min="9999" max="10000" width="9.69921875" style="1" customWidth="1"/>
    <col min="10001" max="10002" width="12.69921875" style="1" customWidth="1"/>
    <col min="10003" max="10003" width="9.69921875" style="1" customWidth="1"/>
    <col min="10004" max="10243" width="8.8984375" style="1"/>
    <col min="10244" max="10245" width="5.19921875" style="1" customWidth="1"/>
    <col min="10246" max="10246" width="10.8984375" style="1" customWidth="1"/>
    <col min="10247" max="10247" width="16.19921875" style="1" customWidth="1"/>
    <col min="10248" max="10248" width="5.69921875" style="1" customWidth="1"/>
    <col min="10249" max="10253" width="9.69921875" style="1" customWidth="1"/>
    <col min="10254" max="10254" width="15.69921875" style="1" customWidth="1"/>
    <col min="10255" max="10256" width="9.69921875" style="1" customWidth="1"/>
    <col min="10257" max="10258" width="12.69921875" style="1" customWidth="1"/>
    <col min="10259" max="10259" width="9.69921875" style="1" customWidth="1"/>
    <col min="10260" max="10499" width="8.8984375" style="1"/>
    <col min="10500" max="10501" width="5.19921875" style="1" customWidth="1"/>
    <col min="10502" max="10502" width="10.8984375" style="1" customWidth="1"/>
    <col min="10503" max="10503" width="16.19921875" style="1" customWidth="1"/>
    <col min="10504" max="10504" width="5.69921875" style="1" customWidth="1"/>
    <col min="10505" max="10509" width="9.69921875" style="1" customWidth="1"/>
    <col min="10510" max="10510" width="15.69921875" style="1" customWidth="1"/>
    <col min="10511" max="10512" width="9.69921875" style="1" customWidth="1"/>
    <col min="10513" max="10514" width="12.69921875" style="1" customWidth="1"/>
    <col min="10515" max="10515" width="9.69921875" style="1" customWidth="1"/>
    <col min="10516" max="10755" width="8.8984375" style="1"/>
    <col min="10756" max="10757" width="5.19921875" style="1" customWidth="1"/>
    <col min="10758" max="10758" width="10.8984375" style="1" customWidth="1"/>
    <col min="10759" max="10759" width="16.19921875" style="1" customWidth="1"/>
    <col min="10760" max="10760" width="5.69921875" style="1" customWidth="1"/>
    <col min="10761" max="10765" width="9.69921875" style="1" customWidth="1"/>
    <col min="10766" max="10766" width="15.69921875" style="1" customWidth="1"/>
    <col min="10767" max="10768" width="9.69921875" style="1" customWidth="1"/>
    <col min="10769" max="10770" width="12.69921875" style="1" customWidth="1"/>
    <col min="10771" max="10771" width="9.69921875" style="1" customWidth="1"/>
    <col min="10772" max="11011" width="8.8984375" style="1"/>
    <col min="11012" max="11013" width="5.19921875" style="1" customWidth="1"/>
    <col min="11014" max="11014" width="10.8984375" style="1" customWidth="1"/>
    <col min="11015" max="11015" width="16.19921875" style="1" customWidth="1"/>
    <col min="11016" max="11016" width="5.69921875" style="1" customWidth="1"/>
    <col min="11017" max="11021" width="9.69921875" style="1" customWidth="1"/>
    <col min="11022" max="11022" width="15.69921875" style="1" customWidth="1"/>
    <col min="11023" max="11024" width="9.69921875" style="1" customWidth="1"/>
    <col min="11025" max="11026" width="12.69921875" style="1" customWidth="1"/>
    <col min="11027" max="11027" width="9.69921875" style="1" customWidth="1"/>
    <col min="11028" max="11267" width="8.8984375" style="1"/>
    <col min="11268" max="11269" width="5.19921875" style="1" customWidth="1"/>
    <col min="11270" max="11270" width="10.8984375" style="1" customWidth="1"/>
    <col min="11271" max="11271" width="16.19921875" style="1" customWidth="1"/>
    <col min="11272" max="11272" width="5.69921875" style="1" customWidth="1"/>
    <col min="11273" max="11277" width="9.69921875" style="1" customWidth="1"/>
    <col min="11278" max="11278" width="15.69921875" style="1" customWidth="1"/>
    <col min="11279" max="11280" width="9.69921875" style="1" customWidth="1"/>
    <col min="11281" max="11282" width="12.69921875" style="1" customWidth="1"/>
    <col min="11283" max="11283" width="9.69921875" style="1" customWidth="1"/>
    <col min="11284" max="11523" width="8.8984375" style="1"/>
    <col min="11524" max="11525" width="5.19921875" style="1" customWidth="1"/>
    <col min="11526" max="11526" width="10.8984375" style="1" customWidth="1"/>
    <col min="11527" max="11527" width="16.19921875" style="1" customWidth="1"/>
    <col min="11528" max="11528" width="5.69921875" style="1" customWidth="1"/>
    <col min="11529" max="11533" width="9.69921875" style="1" customWidth="1"/>
    <col min="11534" max="11534" width="15.69921875" style="1" customWidth="1"/>
    <col min="11535" max="11536" width="9.69921875" style="1" customWidth="1"/>
    <col min="11537" max="11538" width="12.69921875" style="1" customWidth="1"/>
    <col min="11539" max="11539" width="9.69921875" style="1" customWidth="1"/>
    <col min="11540" max="11779" width="8.8984375" style="1"/>
    <col min="11780" max="11781" width="5.19921875" style="1" customWidth="1"/>
    <col min="11782" max="11782" width="10.8984375" style="1" customWidth="1"/>
    <col min="11783" max="11783" width="16.19921875" style="1" customWidth="1"/>
    <col min="11784" max="11784" width="5.69921875" style="1" customWidth="1"/>
    <col min="11785" max="11789" width="9.69921875" style="1" customWidth="1"/>
    <col min="11790" max="11790" width="15.69921875" style="1" customWidth="1"/>
    <col min="11791" max="11792" width="9.69921875" style="1" customWidth="1"/>
    <col min="11793" max="11794" width="12.69921875" style="1" customWidth="1"/>
    <col min="11795" max="11795" width="9.69921875" style="1" customWidth="1"/>
    <col min="11796" max="12035" width="8.8984375" style="1"/>
    <col min="12036" max="12037" width="5.19921875" style="1" customWidth="1"/>
    <col min="12038" max="12038" width="10.8984375" style="1" customWidth="1"/>
    <col min="12039" max="12039" width="16.19921875" style="1" customWidth="1"/>
    <col min="12040" max="12040" width="5.69921875" style="1" customWidth="1"/>
    <col min="12041" max="12045" width="9.69921875" style="1" customWidth="1"/>
    <col min="12046" max="12046" width="15.69921875" style="1" customWidth="1"/>
    <col min="12047" max="12048" width="9.69921875" style="1" customWidth="1"/>
    <col min="12049" max="12050" width="12.69921875" style="1" customWidth="1"/>
    <col min="12051" max="12051" width="9.69921875" style="1" customWidth="1"/>
    <col min="12052" max="12291" width="8.8984375" style="1"/>
    <col min="12292" max="12293" width="5.19921875" style="1" customWidth="1"/>
    <col min="12294" max="12294" width="10.8984375" style="1" customWidth="1"/>
    <col min="12295" max="12295" width="16.19921875" style="1" customWidth="1"/>
    <col min="12296" max="12296" width="5.69921875" style="1" customWidth="1"/>
    <col min="12297" max="12301" width="9.69921875" style="1" customWidth="1"/>
    <col min="12302" max="12302" width="15.69921875" style="1" customWidth="1"/>
    <col min="12303" max="12304" width="9.69921875" style="1" customWidth="1"/>
    <col min="12305" max="12306" width="12.69921875" style="1" customWidth="1"/>
    <col min="12307" max="12307" width="9.69921875" style="1" customWidth="1"/>
    <col min="12308" max="12547" width="8.8984375" style="1"/>
    <col min="12548" max="12549" width="5.19921875" style="1" customWidth="1"/>
    <col min="12550" max="12550" width="10.8984375" style="1" customWidth="1"/>
    <col min="12551" max="12551" width="16.19921875" style="1" customWidth="1"/>
    <col min="12552" max="12552" width="5.69921875" style="1" customWidth="1"/>
    <col min="12553" max="12557" width="9.69921875" style="1" customWidth="1"/>
    <col min="12558" max="12558" width="15.69921875" style="1" customWidth="1"/>
    <col min="12559" max="12560" width="9.69921875" style="1" customWidth="1"/>
    <col min="12561" max="12562" width="12.69921875" style="1" customWidth="1"/>
    <col min="12563" max="12563" width="9.69921875" style="1" customWidth="1"/>
    <col min="12564" max="12803" width="8.8984375" style="1"/>
    <col min="12804" max="12805" width="5.19921875" style="1" customWidth="1"/>
    <col min="12806" max="12806" width="10.8984375" style="1" customWidth="1"/>
    <col min="12807" max="12807" width="16.19921875" style="1" customWidth="1"/>
    <col min="12808" max="12808" width="5.69921875" style="1" customWidth="1"/>
    <col min="12809" max="12813" width="9.69921875" style="1" customWidth="1"/>
    <col min="12814" max="12814" width="15.69921875" style="1" customWidth="1"/>
    <col min="12815" max="12816" width="9.69921875" style="1" customWidth="1"/>
    <col min="12817" max="12818" width="12.69921875" style="1" customWidth="1"/>
    <col min="12819" max="12819" width="9.69921875" style="1" customWidth="1"/>
    <col min="12820" max="13059" width="8.8984375" style="1"/>
    <col min="13060" max="13061" width="5.19921875" style="1" customWidth="1"/>
    <col min="13062" max="13062" width="10.8984375" style="1" customWidth="1"/>
    <col min="13063" max="13063" width="16.19921875" style="1" customWidth="1"/>
    <col min="13064" max="13064" width="5.69921875" style="1" customWidth="1"/>
    <col min="13065" max="13069" width="9.69921875" style="1" customWidth="1"/>
    <col min="13070" max="13070" width="15.69921875" style="1" customWidth="1"/>
    <col min="13071" max="13072" width="9.69921875" style="1" customWidth="1"/>
    <col min="13073" max="13074" width="12.69921875" style="1" customWidth="1"/>
    <col min="13075" max="13075" width="9.69921875" style="1" customWidth="1"/>
    <col min="13076" max="13315" width="8.8984375" style="1"/>
    <col min="13316" max="13317" width="5.19921875" style="1" customWidth="1"/>
    <col min="13318" max="13318" width="10.8984375" style="1" customWidth="1"/>
    <col min="13319" max="13319" width="16.19921875" style="1" customWidth="1"/>
    <col min="13320" max="13320" width="5.69921875" style="1" customWidth="1"/>
    <col min="13321" max="13325" width="9.69921875" style="1" customWidth="1"/>
    <col min="13326" max="13326" width="15.69921875" style="1" customWidth="1"/>
    <col min="13327" max="13328" width="9.69921875" style="1" customWidth="1"/>
    <col min="13329" max="13330" width="12.69921875" style="1" customWidth="1"/>
    <col min="13331" max="13331" width="9.69921875" style="1" customWidth="1"/>
    <col min="13332" max="13571" width="8.8984375" style="1"/>
    <col min="13572" max="13573" width="5.19921875" style="1" customWidth="1"/>
    <col min="13574" max="13574" width="10.8984375" style="1" customWidth="1"/>
    <col min="13575" max="13575" width="16.19921875" style="1" customWidth="1"/>
    <col min="13576" max="13576" width="5.69921875" style="1" customWidth="1"/>
    <col min="13577" max="13581" width="9.69921875" style="1" customWidth="1"/>
    <col min="13582" max="13582" width="15.69921875" style="1" customWidth="1"/>
    <col min="13583" max="13584" width="9.69921875" style="1" customWidth="1"/>
    <col min="13585" max="13586" width="12.69921875" style="1" customWidth="1"/>
    <col min="13587" max="13587" width="9.69921875" style="1" customWidth="1"/>
    <col min="13588" max="13827" width="8.8984375" style="1"/>
    <col min="13828" max="13829" width="5.19921875" style="1" customWidth="1"/>
    <col min="13830" max="13830" width="10.8984375" style="1" customWidth="1"/>
    <col min="13831" max="13831" width="16.19921875" style="1" customWidth="1"/>
    <col min="13832" max="13832" width="5.69921875" style="1" customWidth="1"/>
    <col min="13833" max="13837" width="9.69921875" style="1" customWidth="1"/>
    <col min="13838" max="13838" width="15.69921875" style="1" customWidth="1"/>
    <col min="13839" max="13840" width="9.69921875" style="1" customWidth="1"/>
    <col min="13841" max="13842" width="12.69921875" style="1" customWidth="1"/>
    <col min="13843" max="13843" width="9.69921875" style="1" customWidth="1"/>
    <col min="13844" max="14083" width="8.8984375" style="1"/>
    <col min="14084" max="14085" width="5.19921875" style="1" customWidth="1"/>
    <col min="14086" max="14086" width="10.8984375" style="1" customWidth="1"/>
    <col min="14087" max="14087" width="16.19921875" style="1" customWidth="1"/>
    <col min="14088" max="14088" width="5.69921875" style="1" customWidth="1"/>
    <col min="14089" max="14093" width="9.69921875" style="1" customWidth="1"/>
    <col min="14094" max="14094" width="15.69921875" style="1" customWidth="1"/>
    <col min="14095" max="14096" width="9.69921875" style="1" customWidth="1"/>
    <col min="14097" max="14098" width="12.69921875" style="1" customWidth="1"/>
    <col min="14099" max="14099" width="9.69921875" style="1" customWidth="1"/>
    <col min="14100" max="14339" width="8.8984375" style="1"/>
    <col min="14340" max="14341" width="5.19921875" style="1" customWidth="1"/>
    <col min="14342" max="14342" width="10.8984375" style="1" customWidth="1"/>
    <col min="14343" max="14343" width="16.19921875" style="1" customWidth="1"/>
    <col min="14344" max="14344" width="5.69921875" style="1" customWidth="1"/>
    <col min="14345" max="14349" width="9.69921875" style="1" customWidth="1"/>
    <col min="14350" max="14350" width="15.69921875" style="1" customWidth="1"/>
    <col min="14351" max="14352" width="9.69921875" style="1" customWidth="1"/>
    <col min="14353" max="14354" width="12.69921875" style="1" customWidth="1"/>
    <col min="14355" max="14355" width="9.69921875" style="1" customWidth="1"/>
    <col min="14356" max="14595" width="8.8984375" style="1"/>
    <col min="14596" max="14597" width="5.19921875" style="1" customWidth="1"/>
    <col min="14598" max="14598" width="10.8984375" style="1" customWidth="1"/>
    <col min="14599" max="14599" width="16.19921875" style="1" customWidth="1"/>
    <col min="14600" max="14600" width="5.69921875" style="1" customWidth="1"/>
    <col min="14601" max="14605" width="9.69921875" style="1" customWidth="1"/>
    <col min="14606" max="14606" width="15.69921875" style="1" customWidth="1"/>
    <col min="14607" max="14608" width="9.69921875" style="1" customWidth="1"/>
    <col min="14609" max="14610" width="12.69921875" style="1" customWidth="1"/>
    <col min="14611" max="14611" width="9.69921875" style="1" customWidth="1"/>
    <col min="14612" max="14851" width="8.8984375" style="1"/>
    <col min="14852" max="14853" width="5.19921875" style="1" customWidth="1"/>
    <col min="14854" max="14854" width="10.8984375" style="1" customWidth="1"/>
    <col min="14855" max="14855" width="16.19921875" style="1" customWidth="1"/>
    <col min="14856" max="14856" width="5.69921875" style="1" customWidth="1"/>
    <col min="14857" max="14861" width="9.69921875" style="1" customWidth="1"/>
    <col min="14862" max="14862" width="15.69921875" style="1" customWidth="1"/>
    <col min="14863" max="14864" width="9.69921875" style="1" customWidth="1"/>
    <col min="14865" max="14866" width="12.69921875" style="1" customWidth="1"/>
    <col min="14867" max="14867" width="9.69921875" style="1" customWidth="1"/>
    <col min="14868" max="15107" width="8.8984375" style="1"/>
    <col min="15108" max="15109" width="5.19921875" style="1" customWidth="1"/>
    <col min="15110" max="15110" width="10.8984375" style="1" customWidth="1"/>
    <col min="15111" max="15111" width="16.19921875" style="1" customWidth="1"/>
    <col min="15112" max="15112" width="5.69921875" style="1" customWidth="1"/>
    <col min="15113" max="15117" width="9.69921875" style="1" customWidth="1"/>
    <col min="15118" max="15118" width="15.69921875" style="1" customWidth="1"/>
    <col min="15119" max="15120" width="9.69921875" style="1" customWidth="1"/>
    <col min="15121" max="15122" width="12.69921875" style="1" customWidth="1"/>
    <col min="15123" max="15123" width="9.69921875" style="1" customWidth="1"/>
    <col min="15124" max="15363" width="8.8984375" style="1"/>
    <col min="15364" max="15365" width="5.19921875" style="1" customWidth="1"/>
    <col min="15366" max="15366" width="10.8984375" style="1" customWidth="1"/>
    <col min="15367" max="15367" width="16.19921875" style="1" customWidth="1"/>
    <col min="15368" max="15368" width="5.69921875" style="1" customWidth="1"/>
    <col min="15369" max="15373" width="9.69921875" style="1" customWidth="1"/>
    <col min="15374" max="15374" width="15.69921875" style="1" customWidth="1"/>
    <col min="15375" max="15376" width="9.69921875" style="1" customWidth="1"/>
    <col min="15377" max="15378" width="12.69921875" style="1" customWidth="1"/>
    <col min="15379" max="15379" width="9.69921875" style="1" customWidth="1"/>
    <col min="15380" max="15619" width="8.8984375" style="1"/>
    <col min="15620" max="15621" width="5.19921875" style="1" customWidth="1"/>
    <col min="15622" max="15622" width="10.8984375" style="1" customWidth="1"/>
    <col min="15623" max="15623" width="16.19921875" style="1" customWidth="1"/>
    <col min="15624" max="15624" width="5.69921875" style="1" customWidth="1"/>
    <col min="15625" max="15629" width="9.69921875" style="1" customWidth="1"/>
    <col min="15630" max="15630" width="15.69921875" style="1" customWidth="1"/>
    <col min="15631" max="15632" width="9.69921875" style="1" customWidth="1"/>
    <col min="15633" max="15634" width="12.69921875" style="1" customWidth="1"/>
    <col min="15635" max="15635" width="9.69921875" style="1" customWidth="1"/>
    <col min="15636" max="15875" width="8.8984375" style="1"/>
    <col min="15876" max="15877" width="5.19921875" style="1" customWidth="1"/>
    <col min="15878" max="15878" width="10.8984375" style="1" customWidth="1"/>
    <col min="15879" max="15879" width="16.19921875" style="1" customWidth="1"/>
    <col min="15880" max="15880" width="5.69921875" style="1" customWidth="1"/>
    <col min="15881" max="15885" width="9.69921875" style="1" customWidth="1"/>
    <col min="15886" max="15886" width="15.69921875" style="1" customWidth="1"/>
    <col min="15887" max="15888" width="9.69921875" style="1" customWidth="1"/>
    <col min="15889" max="15890" width="12.69921875" style="1" customWidth="1"/>
    <col min="15891" max="15891" width="9.69921875" style="1" customWidth="1"/>
    <col min="15892" max="16131" width="8.8984375" style="1"/>
    <col min="16132" max="16133" width="5.19921875" style="1" customWidth="1"/>
    <col min="16134" max="16134" width="10.8984375" style="1" customWidth="1"/>
    <col min="16135" max="16135" width="16.19921875" style="1" customWidth="1"/>
    <col min="16136" max="16136" width="5.69921875" style="1" customWidth="1"/>
    <col min="16137" max="16141" width="9.69921875" style="1" customWidth="1"/>
    <col min="16142" max="16142" width="15.69921875" style="1" customWidth="1"/>
    <col min="16143" max="16144" width="9.69921875" style="1" customWidth="1"/>
    <col min="16145" max="16146" width="12.69921875" style="1" customWidth="1"/>
    <col min="16147" max="16147" width="9.69921875" style="1" customWidth="1"/>
    <col min="16148" max="16384" width="8.8984375" style="1"/>
  </cols>
  <sheetData>
    <row r="1" spans="1:29" x14ac:dyDescent="0.4">
      <c r="A1" s="30"/>
      <c r="B1" s="46"/>
      <c r="C1" s="46"/>
      <c r="D1" s="46"/>
      <c r="E1" s="46"/>
      <c r="F1" s="46"/>
      <c r="G1" s="47"/>
      <c r="H1" s="47"/>
      <c r="I1" s="47"/>
      <c r="J1" s="46"/>
      <c r="K1" s="46"/>
      <c r="L1" s="46"/>
      <c r="M1" s="46"/>
      <c r="N1" s="46"/>
      <c r="O1" s="46"/>
      <c r="P1" s="46"/>
      <c r="Q1" s="48"/>
      <c r="R1" s="48"/>
      <c r="S1" s="8">
        <v>15</v>
      </c>
      <c r="T1" s="8">
        <v>16</v>
      </c>
      <c r="U1" s="8">
        <v>17</v>
      </c>
      <c r="V1" s="8">
        <v>18</v>
      </c>
    </row>
    <row r="2" spans="1:29" ht="35.1" customHeight="1" x14ac:dyDescent="0.4">
      <c r="B2" s="155" t="s">
        <v>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7"/>
      <c r="T2" s="10"/>
    </row>
    <row r="3" spans="1:29" ht="9.9" customHeight="1" x14ac:dyDescent="0.4">
      <c r="B3" s="49"/>
      <c r="C3" s="53" t="s">
        <v>1</v>
      </c>
      <c r="D3" s="54" t="s">
        <v>26</v>
      </c>
      <c r="E3" s="49"/>
      <c r="F3" s="49"/>
      <c r="G3" s="50"/>
      <c r="H3" s="50"/>
      <c r="I3" s="50"/>
      <c r="J3" s="49"/>
      <c r="K3" s="49"/>
      <c r="L3" s="49"/>
      <c r="M3" s="49"/>
      <c r="N3" s="49"/>
      <c r="O3" s="49"/>
      <c r="P3" s="49"/>
      <c r="Q3" s="51"/>
      <c r="R3" s="51"/>
    </row>
    <row r="4" spans="1:29" ht="20.100000000000001" customHeight="1" thickBot="1" x14ac:dyDescent="0.45">
      <c r="B4" s="52"/>
      <c r="C4" s="53" t="s">
        <v>41</v>
      </c>
      <c r="D4" s="54" t="s">
        <v>37</v>
      </c>
      <c r="E4" s="54" t="s">
        <v>44</v>
      </c>
      <c r="F4" s="54" t="s">
        <v>48</v>
      </c>
      <c r="G4" s="55" t="s">
        <v>45</v>
      </c>
      <c r="H4" s="55" t="s">
        <v>48</v>
      </c>
      <c r="I4" s="55" t="s">
        <v>48</v>
      </c>
      <c r="J4" s="52" t="s">
        <v>48</v>
      </c>
      <c r="K4" s="52" t="s">
        <v>46</v>
      </c>
      <c r="L4" s="52" t="s">
        <v>48</v>
      </c>
      <c r="M4" s="52" t="s">
        <v>48</v>
      </c>
      <c r="N4" s="52" t="s">
        <v>48</v>
      </c>
      <c r="O4" s="52" t="s">
        <v>48</v>
      </c>
      <c r="P4" s="52" t="s">
        <v>48</v>
      </c>
      <c r="Q4" s="56"/>
      <c r="R4" s="56" t="s">
        <v>30</v>
      </c>
      <c r="S4" s="2"/>
      <c r="T4" s="8" t="s">
        <v>23</v>
      </c>
      <c r="U4" s="8" t="s">
        <v>24</v>
      </c>
      <c r="V4" s="8" t="s">
        <v>27</v>
      </c>
      <c r="W4" s="8" t="s">
        <v>29</v>
      </c>
      <c r="X4" s="8" t="s">
        <v>25</v>
      </c>
      <c r="Y4" s="8" t="s">
        <v>28</v>
      </c>
      <c r="Z4" s="8" t="s">
        <v>33</v>
      </c>
    </row>
    <row r="5" spans="1:29" ht="24.9" customHeight="1" x14ac:dyDescent="0.4">
      <c r="A5" s="156"/>
      <c r="B5" s="158" t="s">
        <v>2</v>
      </c>
      <c r="C5" s="158" t="s">
        <v>3</v>
      </c>
      <c r="D5" s="158" t="s">
        <v>4</v>
      </c>
      <c r="E5" s="158" t="s">
        <v>5</v>
      </c>
      <c r="F5" s="158" t="s">
        <v>6</v>
      </c>
      <c r="G5" s="159" t="s">
        <v>7</v>
      </c>
      <c r="H5" s="159" t="s">
        <v>8</v>
      </c>
      <c r="I5" s="159"/>
      <c r="J5" s="158" t="s">
        <v>9</v>
      </c>
      <c r="K5" s="158"/>
      <c r="L5" s="158" t="s">
        <v>17</v>
      </c>
      <c r="M5" s="158" t="s">
        <v>18</v>
      </c>
      <c r="N5" s="158" t="s">
        <v>19</v>
      </c>
      <c r="O5" s="158" t="s">
        <v>20</v>
      </c>
      <c r="P5" s="158" t="s">
        <v>21</v>
      </c>
      <c r="Q5" s="158" t="s">
        <v>10</v>
      </c>
      <c r="R5" s="146" t="s">
        <v>15</v>
      </c>
      <c r="S5" s="152"/>
      <c r="T5" s="153">
        <f t="shared" ref="T5:Z5" si="0">SUMIF($D$7:$D$9993,T4,$G$7:$G$9993)</f>
        <v>0</v>
      </c>
      <c r="U5" s="147">
        <f t="shared" si="0"/>
        <v>0</v>
      </c>
      <c r="V5" s="147">
        <f t="shared" si="0"/>
        <v>0</v>
      </c>
      <c r="W5" s="147">
        <f t="shared" si="0"/>
        <v>0</v>
      </c>
      <c r="X5" s="147">
        <f t="shared" si="0"/>
        <v>0</v>
      </c>
      <c r="Y5" s="149">
        <f t="shared" si="0"/>
        <v>0</v>
      </c>
      <c r="Z5" s="149">
        <f t="shared" si="0"/>
        <v>0</v>
      </c>
      <c r="AA5" s="151">
        <f>SUM(T5:Z6)</f>
        <v>0</v>
      </c>
    </row>
    <row r="6" spans="1:29" ht="24.9" customHeight="1" x14ac:dyDescent="0.4">
      <c r="A6" s="157"/>
      <c r="B6" s="158"/>
      <c r="C6" s="158"/>
      <c r="D6" s="158"/>
      <c r="E6" s="158"/>
      <c r="F6" s="158"/>
      <c r="G6" s="159"/>
      <c r="H6" s="39" t="s">
        <v>11</v>
      </c>
      <c r="I6" s="39" t="s">
        <v>12</v>
      </c>
      <c r="J6" s="38" t="s">
        <v>13</v>
      </c>
      <c r="K6" s="38" t="s">
        <v>14</v>
      </c>
      <c r="L6" s="158"/>
      <c r="M6" s="158"/>
      <c r="N6" s="158"/>
      <c r="O6" s="158"/>
      <c r="P6" s="158"/>
      <c r="Q6" s="158"/>
      <c r="R6" s="146"/>
      <c r="S6" s="152"/>
      <c r="T6" s="154"/>
      <c r="U6" s="148"/>
      <c r="V6" s="148"/>
      <c r="W6" s="148"/>
      <c r="X6" s="148"/>
      <c r="Y6" s="150"/>
      <c r="Z6" s="150"/>
      <c r="AA6" s="151"/>
    </row>
    <row r="7" spans="1:29" ht="40.200000000000003" customHeight="1" x14ac:dyDescent="0.4">
      <c r="B7" s="38"/>
      <c r="C7" s="3"/>
      <c r="D7" s="11"/>
      <c r="E7" s="40" t="s">
        <v>31</v>
      </c>
      <c r="F7" s="37">
        <f>G7</f>
        <v>0</v>
      </c>
      <c r="G7" s="20"/>
      <c r="H7" s="21" t="str">
        <f>IF(G7="","",(G7-J7))</f>
        <v/>
      </c>
      <c r="I7" s="22" t="str">
        <f>IF(H7="","",(H7-J7))</f>
        <v/>
      </c>
      <c r="J7" s="6">
        <v>0</v>
      </c>
      <c r="K7" s="23"/>
      <c r="L7" s="45">
        <f>C7</f>
        <v>0</v>
      </c>
      <c r="M7" s="23">
        <f>G7</f>
        <v>0</v>
      </c>
      <c r="N7" s="12">
        <v>0</v>
      </c>
      <c r="O7" s="12">
        <v>0</v>
      </c>
      <c r="P7" s="12">
        <v>0</v>
      </c>
      <c r="Q7" s="16"/>
      <c r="R7" s="16"/>
      <c r="S7" s="34"/>
      <c r="T7" s="9"/>
      <c r="AA7" s="19"/>
      <c r="AB7" s="28" t="s">
        <v>34</v>
      </c>
      <c r="AC7" s="19"/>
    </row>
    <row r="8" spans="1:29" ht="40.200000000000003" customHeight="1" x14ac:dyDescent="0.4">
      <c r="B8" s="38"/>
      <c r="C8" s="3"/>
      <c r="D8" s="11"/>
      <c r="E8" s="40" t="s">
        <v>31</v>
      </c>
      <c r="F8" s="37">
        <f t="shared" ref="F8:F68" si="1">G8</f>
        <v>0</v>
      </c>
      <c r="G8" s="20"/>
      <c r="H8" s="21" t="str">
        <f t="shared" ref="H8:H17" si="2">IF(G8="","",(G8))</f>
        <v/>
      </c>
      <c r="I8" s="22" t="str">
        <f t="shared" ref="I8:I28" si="3">IF(H8="","",(H8+I7-J8))</f>
        <v/>
      </c>
      <c r="J8" s="6">
        <v>0</v>
      </c>
      <c r="K8" s="23"/>
      <c r="L8" s="45">
        <f>C8</f>
        <v>0</v>
      </c>
      <c r="M8" s="23">
        <f>G8</f>
        <v>0</v>
      </c>
      <c r="N8" s="12">
        <v>0</v>
      </c>
      <c r="O8" s="12">
        <v>0</v>
      </c>
      <c r="P8" s="12">
        <v>0</v>
      </c>
      <c r="Q8" s="16"/>
      <c r="R8" s="16"/>
      <c r="S8" s="34"/>
      <c r="T8" s="9"/>
      <c r="AA8" s="19"/>
      <c r="AB8" s="19"/>
      <c r="AC8" s="19"/>
    </row>
    <row r="9" spans="1:29" ht="40.200000000000003" customHeight="1" x14ac:dyDescent="0.4">
      <c r="B9" s="38"/>
      <c r="C9" s="3"/>
      <c r="D9" s="11"/>
      <c r="E9" s="40" t="s">
        <v>31</v>
      </c>
      <c r="F9" s="37">
        <f t="shared" si="1"/>
        <v>0</v>
      </c>
      <c r="G9" s="21"/>
      <c r="H9" s="21" t="str">
        <f t="shared" si="2"/>
        <v/>
      </c>
      <c r="I9" s="22" t="str">
        <f t="shared" si="3"/>
        <v/>
      </c>
      <c r="J9" s="6">
        <v>0</v>
      </c>
      <c r="K9" s="23"/>
      <c r="L9" s="45">
        <f t="shared" ref="L9:L72" si="4">C9</f>
        <v>0</v>
      </c>
      <c r="M9" s="23">
        <f>G9</f>
        <v>0</v>
      </c>
      <c r="N9" s="12">
        <v>0</v>
      </c>
      <c r="O9" s="12">
        <v>0</v>
      </c>
      <c r="P9" s="12">
        <v>0</v>
      </c>
      <c r="Q9" s="16"/>
      <c r="R9" s="16"/>
      <c r="S9" s="34"/>
      <c r="T9" s="9"/>
      <c r="AA9" s="19"/>
      <c r="AB9" s="19"/>
      <c r="AC9" s="19"/>
    </row>
    <row r="10" spans="1:29" ht="40.200000000000003" customHeight="1" x14ac:dyDescent="0.4">
      <c r="B10" s="38"/>
      <c r="C10" s="3"/>
      <c r="D10" s="11"/>
      <c r="E10" s="40" t="s">
        <v>31</v>
      </c>
      <c r="F10" s="37">
        <f t="shared" si="1"/>
        <v>0</v>
      </c>
      <c r="G10" s="21"/>
      <c r="H10" s="21" t="str">
        <f t="shared" si="2"/>
        <v/>
      </c>
      <c r="I10" s="22" t="str">
        <f t="shared" si="3"/>
        <v/>
      </c>
      <c r="J10" s="6">
        <v>0</v>
      </c>
      <c r="K10" s="23"/>
      <c r="L10" s="45">
        <f t="shared" si="4"/>
        <v>0</v>
      </c>
      <c r="M10" s="23">
        <f t="shared" ref="M10:M13" si="5">G10</f>
        <v>0</v>
      </c>
      <c r="N10" s="12">
        <v>0</v>
      </c>
      <c r="O10" s="12">
        <v>0</v>
      </c>
      <c r="P10" s="12">
        <v>0</v>
      </c>
      <c r="Q10" s="16"/>
      <c r="R10" s="16"/>
      <c r="S10" s="34"/>
      <c r="T10" s="9"/>
      <c r="AA10" s="19"/>
      <c r="AB10" s="19"/>
      <c r="AC10" s="19"/>
    </row>
    <row r="11" spans="1:29" ht="40.200000000000003" customHeight="1" x14ac:dyDescent="0.4">
      <c r="B11" s="38"/>
      <c r="C11" s="3"/>
      <c r="D11" s="11"/>
      <c r="E11" s="40" t="s">
        <v>31</v>
      </c>
      <c r="F11" s="37">
        <f t="shared" si="1"/>
        <v>0</v>
      </c>
      <c r="G11" s="21"/>
      <c r="H11" s="21" t="str">
        <f t="shared" ref="H11" si="6">IF(G11="","",(G11))</f>
        <v/>
      </c>
      <c r="I11" s="22" t="str">
        <f t="shared" si="3"/>
        <v/>
      </c>
      <c r="J11" s="6">
        <v>0</v>
      </c>
      <c r="K11" s="23"/>
      <c r="L11" s="45">
        <f t="shared" si="4"/>
        <v>0</v>
      </c>
      <c r="M11" s="23">
        <f t="shared" ref="M11" si="7">G11</f>
        <v>0</v>
      </c>
      <c r="N11" s="12">
        <v>0</v>
      </c>
      <c r="O11" s="12">
        <v>0</v>
      </c>
      <c r="P11" s="12">
        <v>0</v>
      </c>
      <c r="Q11" s="16"/>
      <c r="R11" s="16"/>
      <c r="S11" s="34"/>
      <c r="T11" s="9"/>
      <c r="AA11" s="33"/>
      <c r="AB11" s="33"/>
      <c r="AC11" s="33"/>
    </row>
    <row r="12" spans="1:29" ht="40.200000000000003" customHeight="1" x14ac:dyDescent="0.4">
      <c r="B12" s="38"/>
      <c r="C12" s="3"/>
      <c r="D12" s="11"/>
      <c r="E12" s="40" t="s">
        <v>31</v>
      </c>
      <c r="F12" s="37">
        <f t="shared" si="1"/>
        <v>0</v>
      </c>
      <c r="G12" s="21"/>
      <c r="H12" s="21" t="str">
        <f t="shared" si="2"/>
        <v/>
      </c>
      <c r="I12" s="22" t="str">
        <f t="shared" si="3"/>
        <v/>
      </c>
      <c r="J12" s="6">
        <v>0</v>
      </c>
      <c r="K12" s="23"/>
      <c r="L12" s="45">
        <f t="shared" si="4"/>
        <v>0</v>
      </c>
      <c r="M12" s="23">
        <f t="shared" si="5"/>
        <v>0</v>
      </c>
      <c r="N12" s="12">
        <v>0</v>
      </c>
      <c r="O12" s="12">
        <v>0</v>
      </c>
      <c r="P12" s="12">
        <v>0</v>
      </c>
      <c r="Q12" s="16"/>
      <c r="R12" s="16"/>
      <c r="S12" s="34"/>
      <c r="T12" s="9"/>
      <c r="AA12" s="19"/>
      <c r="AB12" s="19"/>
      <c r="AC12" s="19"/>
    </row>
    <row r="13" spans="1:29" ht="40.200000000000003" customHeight="1" x14ac:dyDescent="0.4">
      <c r="B13" s="38"/>
      <c r="C13" s="3"/>
      <c r="D13" s="11"/>
      <c r="E13" s="40" t="s">
        <v>31</v>
      </c>
      <c r="F13" s="37">
        <f t="shared" si="1"/>
        <v>0</v>
      </c>
      <c r="G13" s="21"/>
      <c r="H13" s="21" t="str">
        <f t="shared" si="2"/>
        <v/>
      </c>
      <c r="I13" s="22" t="str">
        <f t="shared" si="3"/>
        <v/>
      </c>
      <c r="J13" s="6">
        <v>0</v>
      </c>
      <c r="K13" s="23"/>
      <c r="L13" s="45">
        <f t="shared" si="4"/>
        <v>0</v>
      </c>
      <c r="M13" s="23">
        <f t="shared" si="5"/>
        <v>0</v>
      </c>
      <c r="N13" s="12">
        <v>0</v>
      </c>
      <c r="O13" s="12">
        <v>0</v>
      </c>
      <c r="P13" s="12">
        <v>0</v>
      </c>
      <c r="Q13" s="16"/>
      <c r="R13" s="16"/>
      <c r="S13" s="34"/>
      <c r="T13" s="9"/>
      <c r="AA13" s="19"/>
      <c r="AB13" s="19"/>
      <c r="AC13" s="19"/>
    </row>
    <row r="14" spans="1:29" ht="40.200000000000003" customHeight="1" x14ac:dyDescent="0.4">
      <c r="B14" s="38"/>
      <c r="C14" s="3"/>
      <c r="D14" s="11"/>
      <c r="E14" s="40" t="s">
        <v>31</v>
      </c>
      <c r="F14" s="37">
        <f t="shared" si="1"/>
        <v>0</v>
      </c>
      <c r="G14" s="21"/>
      <c r="H14" s="21" t="str">
        <f t="shared" ref="H14:H16" si="8">IF(G14="","",(G14))</f>
        <v/>
      </c>
      <c r="I14" s="22" t="str">
        <f t="shared" si="3"/>
        <v/>
      </c>
      <c r="J14" s="6">
        <v>0</v>
      </c>
      <c r="K14" s="23"/>
      <c r="L14" s="45">
        <f t="shared" si="4"/>
        <v>0</v>
      </c>
      <c r="M14" s="23">
        <f t="shared" ref="M14:M17" si="9">G14</f>
        <v>0</v>
      </c>
      <c r="N14" s="12">
        <v>0</v>
      </c>
      <c r="O14" s="12">
        <v>0</v>
      </c>
      <c r="P14" s="12">
        <v>0</v>
      </c>
      <c r="Q14" s="16"/>
      <c r="R14" s="16"/>
      <c r="S14" s="34"/>
      <c r="T14" s="9"/>
      <c r="AA14" s="19"/>
      <c r="AB14" s="19"/>
      <c r="AC14" s="19"/>
    </row>
    <row r="15" spans="1:29" ht="40.200000000000003" customHeight="1" x14ac:dyDescent="0.4">
      <c r="B15" s="38"/>
      <c r="C15" s="3"/>
      <c r="D15" s="11"/>
      <c r="E15" s="40" t="s">
        <v>31</v>
      </c>
      <c r="F15" s="37">
        <f t="shared" si="1"/>
        <v>0</v>
      </c>
      <c r="G15" s="21"/>
      <c r="H15" s="21" t="str">
        <f t="shared" si="8"/>
        <v/>
      </c>
      <c r="I15" s="22" t="str">
        <f t="shared" si="3"/>
        <v/>
      </c>
      <c r="J15" s="6">
        <v>0</v>
      </c>
      <c r="K15" s="23"/>
      <c r="L15" s="45">
        <f t="shared" si="4"/>
        <v>0</v>
      </c>
      <c r="M15" s="23">
        <f t="shared" si="9"/>
        <v>0</v>
      </c>
      <c r="N15" s="12">
        <v>0</v>
      </c>
      <c r="O15" s="12">
        <v>0</v>
      </c>
      <c r="P15" s="12">
        <v>0</v>
      </c>
      <c r="Q15" s="16"/>
      <c r="R15" s="16"/>
      <c r="S15" s="34"/>
      <c r="T15" s="9"/>
      <c r="AA15" s="19"/>
      <c r="AB15" s="19"/>
      <c r="AC15" s="19"/>
    </row>
    <row r="16" spans="1:29" ht="40.200000000000003" customHeight="1" x14ac:dyDescent="0.4">
      <c r="B16" s="38"/>
      <c r="C16" s="3"/>
      <c r="D16" s="11"/>
      <c r="E16" s="40" t="s">
        <v>31</v>
      </c>
      <c r="F16" s="37">
        <f t="shared" si="1"/>
        <v>0</v>
      </c>
      <c r="G16" s="21"/>
      <c r="H16" s="21" t="str">
        <f t="shared" si="8"/>
        <v/>
      </c>
      <c r="I16" s="22" t="str">
        <f t="shared" si="3"/>
        <v/>
      </c>
      <c r="J16" s="6">
        <v>0</v>
      </c>
      <c r="K16" s="23"/>
      <c r="L16" s="45">
        <f t="shared" si="4"/>
        <v>0</v>
      </c>
      <c r="M16" s="23">
        <f t="shared" si="9"/>
        <v>0</v>
      </c>
      <c r="N16" s="12">
        <v>0</v>
      </c>
      <c r="O16" s="12">
        <v>0</v>
      </c>
      <c r="P16" s="12">
        <v>0</v>
      </c>
      <c r="Q16" s="16"/>
      <c r="R16" s="16"/>
      <c r="S16" s="34"/>
      <c r="T16" s="9"/>
      <c r="AA16" s="18"/>
      <c r="AB16" s="18"/>
      <c r="AC16" s="18"/>
    </row>
    <row r="17" spans="1:29" ht="40.200000000000003" customHeight="1" x14ac:dyDescent="0.4">
      <c r="B17" s="38"/>
      <c r="C17" s="3"/>
      <c r="D17" s="11"/>
      <c r="E17" s="40" t="s">
        <v>31</v>
      </c>
      <c r="F17" s="37">
        <f t="shared" si="1"/>
        <v>0</v>
      </c>
      <c r="G17" s="20"/>
      <c r="H17" s="21" t="str">
        <f t="shared" si="2"/>
        <v/>
      </c>
      <c r="I17" s="22" t="str">
        <f t="shared" si="3"/>
        <v/>
      </c>
      <c r="J17" s="6">
        <v>0</v>
      </c>
      <c r="K17" s="40"/>
      <c r="L17" s="45">
        <f t="shared" si="4"/>
        <v>0</v>
      </c>
      <c r="M17" s="23">
        <f t="shared" si="9"/>
        <v>0</v>
      </c>
      <c r="N17" s="12">
        <v>0</v>
      </c>
      <c r="O17" s="12">
        <v>0</v>
      </c>
      <c r="P17" s="12">
        <v>0</v>
      </c>
      <c r="Q17" s="16"/>
      <c r="R17" s="16"/>
      <c r="S17" s="34"/>
      <c r="T17" s="9"/>
      <c r="AA17" s="18"/>
      <c r="AB17" s="18"/>
      <c r="AC17" s="18"/>
    </row>
    <row r="18" spans="1:29" ht="40.200000000000003" customHeight="1" x14ac:dyDescent="0.4">
      <c r="B18" s="38"/>
      <c r="C18" s="3"/>
      <c r="D18" s="11"/>
      <c r="E18" s="40" t="s">
        <v>31</v>
      </c>
      <c r="F18" s="37">
        <f t="shared" si="1"/>
        <v>0</v>
      </c>
      <c r="G18" s="21"/>
      <c r="H18" s="21" t="str">
        <f t="shared" ref="H18" si="10">IF(G18="","",(G18))</f>
        <v/>
      </c>
      <c r="I18" s="22" t="str">
        <f t="shared" si="3"/>
        <v/>
      </c>
      <c r="J18" s="6">
        <v>0</v>
      </c>
      <c r="K18" s="23"/>
      <c r="L18" s="45">
        <f t="shared" si="4"/>
        <v>0</v>
      </c>
      <c r="M18" s="23">
        <f t="shared" ref="M18" si="11">G18</f>
        <v>0</v>
      </c>
      <c r="N18" s="12">
        <v>0</v>
      </c>
      <c r="O18" s="12">
        <v>0</v>
      </c>
      <c r="P18" s="12">
        <v>0</v>
      </c>
      <c r="Q18" s="16"/>
      <c r="R18" s="16"/>
      <c r="S18" s="34"/>
      <c r="T18" s="9"/>
      <c r="AA18" s="19"/>
      <c r="AB18" s="19"/>
      <c r="AC18" s="19"/>
    </row>
    <row r="19" spans="1:29" ht="40.200000000000003" customHeight="1" x14ac:dyDescent="0.4">
      <c r="B19" s="38"/>
      <c r="C19" s="3"/>
      <c r="D19" s="11"/>
      <c r="E19" s="40" t="s">
        <v>31</v>
      </c>
      <c r="F19" s="37">
        <f t="shared" si="1"/>
        <v>0</v>
      </c>
      <c r="G19" s="21"/>
      <c r="H19" s="21" t="str">
        <f t="shared" ref="H19:H20" si="12">IF(G19="","",(G19))</f>
        <v/>
      </c>
      <c r="I19" s="22" t="str">
        <f t="shared" si="3"/>
        <v/>
      </c>
      <c r="J19" s="6">
        <v>0</v>
      </c>
      <c r="K19" s="23"/>
      <c r="L19" s="45">
        <f t="shared" si="4"/>
        <v>0</v>
      </c>
      <c r="M19" s="23">
        <f t="shared" ref="M19:M20" si="13">G19</f>
        <v>0</v>
      </c>
      <c r="N19" s="12">
        <v>0</v>
      </c>
      <c r="O19" s="12">
        <v>0</v>
      </c>
      <c r="P19" s="12">
        <v>0</v>
      </c>
      <c r="Q19" s="16"/>
      <c r="R19" s="16"/>
    </row>
    <row r="20" spans="1:29" ht="40.200000000000003" customHeight="1" x14ac:dyDescent="0.4">
      <c r="B20" s="38"/>
      <c r="C20" s="3"/>
      <c r="D20" s="11"/>
      <c r="E20" s="40" t="s">
        <v>31</v>
      </c>
      <c r="F20" s="37">
        <f t="shared" si="1"/>
        <v>0</v>
      </c>
      <c r="G20" s="21"/>
      <c r="H20" s="21" t="str">
        <f t="shared" si="12"/>
        <v/>
      </c>
      <c r="I20" s="22" t="str">
        <f t="shared" si="3"/>
        <v/>
      </c>
      <c r="J20" s="6">
        <v>0</v>
      </c>
      <c r="K20" s="23"/>
      <c r="L20" s="45">
        <f t="shared" si="4"/>
        <v>0</v>
      </c>
      <c r="M20" s="23">
        <f t="shared" si="13"/>
        <v>0</v>
      </c>
      <c r="N20" s="12">
        <v>0</v>
      </c>
      <c r="O20" s="12">
        <v>0</v>
      </c>
      <c r="P20" s="12">
        <v>0</v>
      </c>
      <c r="Q20" s="16"/>
      <c r="R20" s="16"/>
    </row>
    <row r="21" spans="1:29" ht="40.200000000000003" customHeight="1" x14ac:dyDescent="0.4">
      <c r="B21" s="38"/>
      <c r="C21" s="3"/>
      <c r="D21" s="11"/>
      <c r="E21" s="40" t="s">
        <v>31</v>
      </c>
      <c r="F21" s="37">
        <f t="shared" si="1"/>
        <v>0</v>
      </c>
      <c r="G21" s="21"/>
      <c r="H21" s="21" t="str">
        <f t="shared" ref="H21" si="14">IF(G21="","",(G21))</f>
        <v/>
      </c>
      <c r="I21" s="22" t="str">
        <f t="shared" si="3"/>
        <v/>
      </c>
      <c r="J21" s="6">
        <v>0</v>
      </c>
      <c r="K21" s="23"/>
      <c r="L21" s="45">
        <f t="shared" si="4"/>
        <v>0</v>
      </c>
      <c r="M21" s="23">
        <f t="shared" ref="M21" si="15">G21</f>
        <v>0</v>
      </c>
      <c r="N21" s="12">
        <v>0</v>
      </c>
      <c r="O21" s="12">
        <v>0</v>
      </c>
      <c r="P21" s="12">
        <v>0</v>
      </c>
      <c r="Q21" s="16"/>
      <c r="R21" s="16"/>
    </row>
    <row r="22" spans="1:29" ht="40.200000000000003" customHeight="1" x14ac:dyDescent="0.4">
      <c r="A22" s="31"/>
      <c r="B22" s="38"/>
      <c r="C22" s="3"/>
      <c r="D22" s="11"/>
      <c r="E22" s="40" t="s">
        <v>31</v>
      </c>
      <c r="F22" s="37">
        <f t="shared" si="1"/>
        <v>0</v>
      </c>
      <c r="G22" s="21"/>
      <c r="H22" s="21" t="str">
        <f t="shared" ref="H22:H23" si="16">IF(G22="","",(G22))</f>
        <v/>
      </c>
      <c r="I22" s="22" t="str">
        <f t="shared" si="3"/>
        <v/>
      </c>
      <c r="J22" s="6">
        <v>0</v>
      </c>
      <c r="K22" s="23"/>
      <c r="L22" s="45">
        <f t="shared" si="4"/>
        <v>0</v>
      </c>
      <c r="M22" s="23">
        <f t="shared" ref="M22:M23" si="17">G22</f>
        <v>0</v>
      </c>
      <c r="N22" s="12">
        <v>0</v>
      </c>
      <c r="O22" s="12">
        <v>0</v>
      </c>
      <c r="P22" s="12">
        <v>0</v>
      </c>
      <c r="Q22" s="16"/>
      <c r="R22" s="16"/>
    </row>
    <row r="23" spans="1:29" ht="40.200000000000003" customHeight="1" x14ac:dyDescent="0.4">
      <c r="A23" s="31"/>
      <c r="B23" s="38"/>
      <c r="C23" s="3"/>
      <c r="D23" s="11"/>
      <c r="E23" s="40" t="s">
        <v>31</v>
      </c>
      <c r="F23" s="37">
        <f t="shared" si="1"/>
        <v>0</v>
      </c>
      <c r="G23" s="21"/>
      <c r="H23" s="21" t="str">
        <f t="shared" si="16"/>
        <v/>
      </c>
      <c r="I23" s="22" t="str">
        <f t="shared" si="3"/>
        <v/>
      </c>
      <c r="J23" s="6">
        <v>0</v>
      </c>
      <c r="K23" s="23"/>
      <c r="L23" s="45">
        <f t="shared" si="4"/>
        <v>0</v>
      </c>
      <c r="M23" s="23">
        <f t="shared" si="17"/>
        <v>0</v>
      </c>
      <c r="N23" s="12">
        <v>0</v>
      </c>
      <c r="O23" s="12">
        <v>0</v>
      </c>
      <c r="P23" s="12">
        <v>0</v>
      </c>
      <c r="Q23" s="16"/>
      <c r="R23" s="16"/>
    </row>
    <row r="24" spans="1:29" ht="40.200000000000003" customHeight="1" x14ac:dyDescent="0.4">
      <c r="A24" s="31"/>
      <c r="B24" s="38"/>
      <c r="C24" s="3"/>
      <c r="D24" s="11"/>
      <c r="E24" s="40" t="s">
        <v>31</v>
      </c>
      <c r="F24" s="37">
        <f t="shared" si="1"/>
        <v>0</v>
      </c>
      <c r="G24" s="21"/>
      <c r="H24" s="21" t="str">
        <f t="shared" ref="H24" si="18">IF(G24="","",(G24))</f>
        <v/>
      </c>
      <c r="I24" s="22" t="str">
        <f t="shared" si="3"/>
        <v/>
      </c>
      <c r="J24" s="6">
        <v>0</v>
      </c>
      <c r="K24" s="23"/>
      <c r="L24" s="45">
        <f t="shared" si="4"/>
        <v>0</v>
      </c>
      <c r="M24" s="23">
        <f t="shared" ref="M24" si="19">G24</f>
        <v>0</v>
      </c>
      <c r="N24" s="12">
        <v>0</v>
      </c>
      <c r="O24" s="12">
        <v>0</v>
      </c>
      <c r="P24" s="12">
        <v>0</v>
      </c>
      <c r="Q24" s="16"/>
      <c r="R24" s="16"/>
    </row>
    <row r="25" spans="1:29" ht="40.200000000000003" customHeight="1" x14ac:dyDescent="0.4">
      <c r="B25" s="38"/>
      <c r="C25" s="3"/>
      <c r="D25" s="11"/>
      <c r="E25" s="40" t="s">
        <v>31</v>
      </c>
      <c r="F25" s="37">
        <f t="shared" si="1"/>
        <v>0</v>
      </c>
      <c r="G25" s="21"/>
      <c r="H25" s="21" t="str">
        <f t="shared" ref="H25:H29" si="20">IF(G25="","",(G25))</f>
        <v/>
      </c>
      <c r="I25" s="22" t="str">
        <f t="shared" si="3"/>
        <v/>
      </c>
      <c r="J25" s="6">
        <v>0</v>
      </c>
      <c r="K25" s="23"/>
      <c r="L25" s="45">
        <f t="shared" si="4"/>
        <v>0</v>
      </c>
      <c r="M25" s="23">
        <f t="shared" ref="M25:M27" si="21">G25</f>
        <v>0</v>
      </c>
      <c r="N25" s="12">
        <v>0</v>
      </c>
      <c r="O25" s="12">
        <v>0</v>
      </c>
      <c r="P25" s="12">
        <v>0</v>
      </c>
      <c r="Q25" s="16"/>
      <c r="R25" s="16"/>
    </row>
    <row r="26" spans="1:29" ht="40.200000000000003" customHeight="1" x14ac:dyDescent="0.4">
      <c r="B26" s="38"/>
      <c r="C26" s="3"/>
      <c r="D26" s="11"/>
      <c r="E26" s="40" t="s">
        <v>31</v>
      </c>
      <c r="F26" s="37">
        <f t="shared" si="1"/>
        <v>0</v>
      </c>
      <c r="G26" s="21"/>
      <c r="H26" s="21" t="str">
        <f t="shared" si="20"/>
        <v/>
      </c>
      <c r="I26" s="22" t="str">
        <f t="shared" si="3"/>
        <v/>
      </c>
      <c r="J26" s="6">
        <v>0</v>
      </c>
      <c r="K26" s="23"/>
      <c r="L26" s="45">
        <f t="shared" si="4"/>
        <v>0</v>
      </c>
      <c r="M26" s="23">
        <f t="shared" si="21"/>
        <v>0</v>
      </c>
      <c r="N26" s="12">
        <v>0</v>
      </c>
      <c r="O26" s="12">
        <v>0</v>
      </c>
      <c r="P26" s="12">
        <v>0</v>
      </c>
      <c r="Q26" s="16"/>
      <c r="R26" s="16"/>
    </row>
    <row r="27" spans="1:29" ht="40.200000000000003" customHeight="1" x14ac:dyDescent="0.4">
      <c r="B27" s="38"/>
      <c r="C27" s="3"/>
      <c r="D27" s="11"/>
      <c r="E27" s="40" t="s">
        <v>31</v>
      </c>
      <c r="F27" s="37">
        <f t="shared" si="1"/>
        <v>0</v>
      </c>
      <c r="G27" s="21"/>
      <c r="H27" s="21" t="str">
        <f t="shared" si="20"/>
        <v/>
      </c>
      <c r="I27" s="22" t="str">
        <f t="shared" si="3"/>
        <v/>
      </c>
      <c r="J27" s="6">
        <v>0</v>
      </c>
      <c r="K27" s="23"/>
      <c r="L27" s="45">
        <f t="shared" si="4"/>
        <v>0</v>
      </c>
      <c r="M27" s="23">
        <f t="shared" si="21"/>
        <v>0</v>
      </c>
      <c r="N27" s="12">
        <v>0</v>
      </c>
      <c r="O27" s="12">
        <v>0</v>
      </c>
      <c r="P27" s="12">
        <v>0</v>
      </c>
      <c r="Q27" s="16"/>
      <c r="R27" s="16"/>
    </row>
    <row r="28" spans="1:29" ht="40.200000000000003" customHeight="1" x14ac:dyDescent="0.4">
      <c r="B28" s="38"/>
      <c r="C28" s="3"/>
      <c r="D28" s="11"/>
      <c r="E28" s="40" t="s">
        <v>31</v>
      </c>
      <c r="F28" s="37">
        <f t="shared" si="1"/>
        <v>0</v>
      </c>
      <c r="G28" s="32"/>
      <c r="H28" s="32" t="str">
        <f t="shared" si="20"/>
        <v/>
      </c>
      <c r="I28" s="22" t="str">
        <f t="shared" si="3"/>
        <v/>
      </c>
      <c r="J28" s="6">
        <v>0</v>
      </c>
      <c r="K28" s="23"/>
      <c r="L28" s="45">
        <f t="shared" si="4"/>
        <v>0</v>
      </c>
      <c r="M28" s="23">
        <f t="shared" ref="M28" si="22">G28</f>
        <v>0</v>
      </c>
      <c r="N28" s="12">
        <v>0</v>
      </c>
      <c r="O28" s="12">
        <v>0</v>
      </c>
      <c r="P28" s="12">
        <v>0</v>
      </c>
      <c r="Q28" s="16"/>
      <c r="R28" s="16"/>
    </row>
    <row r="29" spans="1:29" ht="40.200000000000003" customHeight="1" x14ac:dyDescent="0.4">
      <c r="B29" s="38"/>
      <c r="C29" s="3"/>
      <c r="D29" s="11"/>
      <c r="E29" s="40" t="s">
        <v>31</v>
      </c>
      <c r="F29" s="37">
        <f t="shared" si="1"/>
        <v>0</v>
      </c>
      <c r="G29" s="32"/>
      <c r="H29" s="32" t="str">
        <f t="shared" si="20"/>
        <v/>
      </c>
      <c r="I29" s="22" t="str">
        <f t="shared" ref="I29:I33" si="23">IF(H29="","",(H29+I28-J29))</f>
        <v/>
      </c>
      <c r="J29" s="6">
        <v>0</v>
      </c>
      <c r="K29" s="23"/>
      <c r="L29" s="45">
        <f t="shared" si="4"/>
        <v>0</v>
      </c>
      <c r="M29" s="23">
        <f t="shared" ref="M29:M33" si="24">G29</f>
        <v>0</v>
      </c>
      <c r="N29" s="12">
        <v>0</v>
      </c>
      <c r="O29" s="12">
        <v>0</v>
      </c>
      <c r="P29" s="12">
        <v>0</v>
      </c>
      <c r="Q29" s="16"/>
      <c r="R29" s="16"/>
    </row>
    <row r="30" spans="1:29" ht="40.200000000000003" customHeight="1" x14ac:dyDescent="0.4">
      <c r="B30" s="38"/>
      <c r="C30" s="3"/>
      <c r="D30" s="11"/>
      <c r="E30" s="40" t="s">
        <v>31</v>
      </c>
      <c r="F30" s="37">
        <f t="shared" si="1"/>
        <v>0</v>
      </c>
      <c r="G30" s="21"/>
      <c r="H30" s="21" t="str">
        <f t="shared" ref="H30:H34" si="25">IF(G30="","",(G30))</f>
        <v/>
      </c>
      <c r="I30" s="22" t="str">
        <f t="shared" si="23"/>
        <v/>
      </c>
      <c r="J30" s="6">
        <v>0</v>
      </c>
      <c r="K30" s="23"/>
      <c r="L30" s="45">
        <f t="shared" si="4"/>
        <v>0</v>
      </c>
      <c r="M30" s="23">
        <f t="shared" si="24"/>
        <v>0</v>
      </c>
      <c r="N30" s="12">
        <v>0</v>
      </c>
      <c r="O30" s="12">
        <v>0</v>
      </c>
      <c r="P30" s="12">
        <v>0</v>
      </c>
      <c r="Q30" s="16"/>
      <c r="R30" s="16"/>
    </row>
    <row r="31" spans="1:29" ht="40.200000000000003" customHeight="1" x14ac:dyDescent="0.4">
      <c r="B31" s="38"/>
      <c r="C31" s="3"/>
      <c r="D31" s="11"/>
      <c r="E31" s="40" t="s">
        <v>31</v>
      </c>
      <c r="F31" s="37">
        <f t="shared" si="1"/>
        <v>0</v>
      </c>
      <c r="G31" s="21"/>
      <c r="H31" s="21" t="str">
        <f t="shared" si="25"/>
        <v/>
      </c>
      <c r="I31" s="22" t="str">
        <f t="shared" si="23"/>
        <v/>
      </c>
      <c r="J31" s="6">
        <v>0</v>
      </c>
      <c r="K31" s="23"/>
      <c r="L31" s="45">
        <f t="shared" si="4"/>
        <v>0</v>
      </c>
      <c r="M31" s="23">
        <f t="shared" si="24"/>
        <v>0</v>
      </c>
      <c r="N31" s="12">
        <v>0</v>
      </c>
      <c r="O31" s="12">
        <v>0</v>
      </c>
      <c r="P31" s="12">
        <v>0</v>
      </c>
      <c r="Q31" s="16"/>
      <c r="R31" s="16"/>
    </row>
    <row r="32" spans="1:29" ht="40.200000000000003" customHeight="1" x14ac:dyDescent="0.4">
      <c r="B32" s="38"/>
      <c r="C32" s="3"/>
      <c r="D32" s="11"/>
      <c r="E32" s="40" t="s">
        <v>31</v>
      </c>
      <c r="F32" s="37">
        <f t="shared" si="1"/>
        <v>0</v>
      </c>
      <c r="G32" s="21"/>
      <c r="H32" s="21" t="str">
        <f t="shared" si="25"/>
        <v/>
      </c>
      <c r="I32" s="22" t="str">
        <f t="shared" si="23"/>
        <v/>
      </c>
      <c r="J32" s="6">
        <v>0</v>
      </c>
      <c r="K32" s="23"/>
      <c r="L32" s="45">
        <f t="shared" si="4"/>
        <v>0</v>
      </c>
      <c r="M32" s="23">
        <f t="shared" si="24"/>
        <v>0</v>
      </c>
      <c r="N32" s="12">
        <v>0</v>
      </c>
      <c r="O32" s="12">
        <v>0</v>
      </c>
      <c r="P32" s="12">
        <v>0</v>
      </c>
      <c r="Q32" s="16"/>
      <c r="R32" s="16"/>
    </row>
    <row r="33" spans="2:18" ht="40.200000000000003" customHeight="1" x14ac:dyDescent="0.4">
      <c r="B33" s="38"/>
      <c r="C33" s="3"/>
      <c r="D33" s="11"/>
      <c r="E33" s="40" t="s">
        <v>31</v>
      </c>
      <c r="F33" s="37">
        <f t="shared" si="1"/>
        <v>0</v>
      </c>
      <c r="G33" s="32"/>
      <c r="H33" s="32" t="str">
        <f t="shared" si="25"/>
        <v/>
      </c>
      <c r="I33" s="22" t="str">
        <f t="shared" si="23"/>
        <v/>
      </c>
      <c r="J33" s="6">
        <v>0</v>
      </c>
      <c r="K33" s="23"/>
      <c r="L33" s="45">
        <f t="shared" si="4"/>
        <v>0</v>
      </c>
      <c r="M33" s="23">
        <f t="shared" si="24"/>
        <v>0</v>
      </c>
      <c r="N33" s="12">
        <v>0</v>
      </c>
      <c r="O33" s="12">
        <v>0</v>
      </c>
      <c r="P33" s="12">
        <v>0</v>
      </c>
      <c r="Q33" s="16"/>
      <c r="R33" s="16"/>
    </row>
    <row r="34" spans="2:18" ht="40.200000000000003" customHeight="1" x14ac:dyDescent="0.4">
      <c r="B34" s="38"/>
      <c r="C34" s="3"/>
      <c r="D34" s="11"/>
      <c r="E34" s="40" t="s">
        <v>31</v>
      </c>
      <c r="F34" s="37">
        <f t="shared" si="1"/>
        <v>0</v>
      </c>
      <c r="G34" s="32"/>
      <c r="H34" s="32" t="str">
        <f t="shared" si="25"/>
        <v/>
      </c>
      <c r="I34" s="22" t="str">
        <f t="shared" ref="I34" si="26">IF(H34="","",(H34+I33-J34))</f>
        <v/>
      </c>
      <c r="J34" s="6">
        <v>0</v>
      </c>
      <c r="K34" s="23"/>
      <c r="L34" s="45">
        <f t="shared" si="4"/>
        <v>0</v>
      </c>
      <c r="M34" s="23">
        <f t="shared" ref="M34" si="27">G34</f>
        <v>0</v>
      </c>
      <c r="N34" s="12">
        <v>0</v>
      </c>
      <c r="O34" s="12">
        <v>0</v>
      </c>
      <c r="P34" s="12">
        <v>0</v>
      </c>
      <c r="Q34" s="16"/>
      <c r="R34" s="16"/>
    </row>
    <row r="35" spans="2:18" ht="40.200000000000003" customHeight="1" x14ac:dyDescent="0.4">
      <c r="B35" s="38"/>
      <c r="C35" s="3"/>
      <c r="D35" s="11"/>
      <c r="E35" s="40" t="s">
        <v>31</v>
      </c>
      <c r="F35" s="37">
        <f t="shared" si="1"/>
        <v>0</v>
      </c>
      <c r="G35" s="32"/>
      <c r="H35" s="32" t="str">
        <f t="shared" ref="H35" si="28">IF(G35="","",(G35))</f>
        <v/>
      </c>
      <c r="I35" s="22" t="str">
        <f t="shared" ref="I35" si="29">IF(H35="","",(H35+I34-J35))</f>
        <v/>
      </c>
      <c r="J35" s="6">
        <v>0</v>
      </c>
      <c r="K35" s="23"/>
      <c r="L35" s="45">
        <f t="shared" si="4"/>
        <v>0</v>
      </c>
      <c r="M35" s="23">
        <f t="shared" ref="M35" si="30">G35</f>
        <v>0</v>
      </c>
      <c r="N35" s="12">
        <v>0</v>
      </c>
      <c r="O35" s="12">
        <v>0</v>
      </c>
      <c r="P35" s="12">
        <v>0</v>
      </c>
      <c r="Q35" s="16"/>
      <c r="R35" s="16"/>
    </row>
    <row r="36" spans="2:18" ht="40.200000000000003" customHeight="1" x14ac:dyDescent="0.4">
      <c r="B36" s="38"/>
      <c r="C36" s="3"/>
      <c r="D36" s="11"/>
      <c r="E36" s="40" t="s">
        <v>31</v>
      </c>
      <c r="F36" s="37">
        <f t="shared" si="1"/>
        <v>0</v>
      </c>
      <c r="G36" s="32"/>
      <c r="H36" s="32" t="str">
        <f t="shared" ref="H36:H38" si="31">IF(G36="","",(G36))</f>
        <v/>
      </c>
      <c r="I36" s="22" t="str">
        <f t="shared" ref="I36:I38" si="32">IF(H36="","",(H36+I35-J36))</f>
        <v/>
      </c>
      <c r="J36" s="6">
        <v>0</v>
      </c>
      <c r="K36" s="23"/>
      <c r="L36" s="45">
        <f t="shared" si="4"/>
        <v>0</v>
      </c>
      <c r="M36" s="23">
        <f t="shared" ref="M36:M38" si="33">G36</f>
        <v>0</v>
      </c>
      <c r="N36" s="12">
        <v>0</v>
      </c>
      <c r="O36" s="12">
        <v>0</v>
      </c>
      <c r="P36" s="12">
        <v>0</v>
      </c>
      <c r="Q36" s="16"/>
      <c r="R36" s="16"/>
    </row>
    <row r="37" spans="2:18" ht="40.200000000000003" customHeight="1" x14ac:dyDescent="0.4">
      <c r="B37" s="38"/>
      <c r="C37" s="3"/>
      <c r="D37" s="11"/>
      <c r="E37" s="40" t="s">
        <v>31</v>
      </c>
      <c r="F37" s="37">
        <f t="shared" si="1"/>
        <v>0</v>
      </c>
      <c r="G37" s="21"/>
      <c r="H37" s="21" t="str">
        <f t="shared" si="31"/>
        <v/>
      </c>
      <c r="I37" s="22" t="str">
        <f t="shared" si="32"/>
        <v/>
      </c>
      <c r="J37" s="6">
        <v>0</v>
      </c>
      <c r="K37" s="23"/>
      <c r="L37" s="45">
        <f t="shared" si="4"/>
        <v>0</v>
      </c>
      <c r="M37" s="23">
        <f t="shared" si="33"/>
        <v>0</v>
      </c>
      <c r="N37" s="12">
        <v>0</v>
      </c>
      <c r="O37" s="12">
        <v>0</v>
      </c>
      <c r="P37" s="12">
        <v>0</v>
      </c>
      <c r="Q37" s="16"/>
      <c r="R37" s="16"/>
    </row>
    <row r="38" spans="2:18" ht="40.200000000000003" customHeight="1" x14ac:dyDescent="0.4">
      <c r="B38" s="38"/>
      <c r="C38" s="3"/>
      <c r="D38" s="11"/>
      <c r="E38" s="40" t="s">
        <v>31</v>
      </c>
      <c r="F38" s="37">
        <f t="shared" si="1"/>
        <v>0</v>
      </c>
      <c r="G38" s="21"/>
      <c r="H38" s="21" t="str">
        <f t="shared" si="31"/>
        <v/>
      </c>
      <c r="I38" s="22" t="str">
        <f t="shared" si="32"/>
        <v/>
      </c>
      <c r="J38" s="6">
        <v>0</v>
      </c>
      <c r="K38" s="23"/>
      <c r="L38" s="45">
        <f t="shared" si="4"/>
        <v>0</v>
      </c>
      <c r="M38" s="23">
        <f t="shared" si="33"/>
        <v>0</v>
      </c>
      <c r="N38" s="12">
        <v>0</v>
      </c>
      <c r="O38" s="12">
        <v>0</v>
      </c>
      <c r="P38" s="12">
        <v>0</v>
      </c>
      <c r="Q38" s="16"/>
      <c r="R38" s="16"/>
    </row>
    <row r="39" spans="2:18" ht="40.200000000000003" customHeight="1" x14ac:dyDescent="0.4">
      <c r="B39" s="38"/>
      <c r="C39" s="3"/>
      <c r="D39" s="11"/>
      <c r="E39" s="40" t="s">
        <v>31</v>
      </c>
      <c r="F39" s="37">
        <f t="shared" si="1"/>
        <v>0</v>
      </c>
      <c r="G39" s="21"/>
      <c r="H39" s="21" t="str">
        <f t="shared" ref="H39:H41" si="34">IF(G39="","",(G39))</f>
        <v/>
      </c>
      <c r="I39" s="22" t="str">
        <f t="shared" ref="I39" si="35">IF(H39="","",(H39+I38-J39))</f>
        <v/>
      </c>
      <c r="J39" s="6">
        <v>0</v>
      </c>
      <c r="K39" s="23"/>
      <c r="L39" s="45">
        <f t="shared" si="4"/>
        <v>0</v>
      </c>
      <c r="M39" s="23">
        <f t="shared" ref="M39:M41" si="36">G39</f>
        <v>0</v>
      </c>
      <c r="N39" s="12">
        <v>0</v>
      </c>
      <c r="O39" s="12">
        <v>0</v>
      </c>
      <c r="P39" s="12">
        <v>0</v>
      </c>
      <c r="Q39" s="16"/>
      <c r="R39" s="16"/>
    </row>
    <row r="40" spans="2:18" ht="40.200000000000003" customHeight="1" x14ac:dyDescent="0.4">
      <c r="B40" s="38"/>
      <c r="C40" s="3"/>
      <c r="D40" s="11"/>
      <c r="E40" s="40" t="s">
        <v>31</v>
      </c>
      <c r="F40" s="37">
        <f t="shared" si="1"/>
        <v>0</v>
      </c>
      <c r="G40" s="21"/>
      <c r="H40" s="21" t="str">
        <f t="shared" si="34"/>
        <v/>
      </c>
      <c r="I40" s="22" t="str">
        <f>IF(H40="","",(H40+I39-J40))</f>
        <v/>
      </c>
      <c r="J40" s="6">
        <v>0</v>
      </c>
      <c r="K40" s="23"/>
      <c r="L40" s="45">
        <f t="shared" si="4"/>
        <v>0</v>
      </c>
      <c r="M40" s="23">
        <f t="shared" si="36"/>
        <v>0</v>
      </c>
      <c r="N40" s="12">
        <v>0</v>
      </c>
      <c r="O40" s="12">
        <v>0</v>
      </c>
      <c r="P40" s="12">
        <v>0</v>
      </c>
      <c r="Q40" s="16"/>
      <c r="R40" s="16"/>
    </row>
    <row r="41" spans="2:18" ht="40.200000000000003" customHeight="1" x14ac:dyDescent="0.4">
      <c r="B41" s="38"/>
      <c r="C41" s="3"/>
      <c r="D41" s="11"/>
      <c r="E41" s="40" t="s">
        <v>31</v>
      </c>
      <c r="F41" s="37">
        <f t="shared" si="1"/>
        <v>0</v>
      </c>
      <c r="G41" s="32"/>
      <c r="H41" s="32" t="str">
        <f t="shared" si="34"/>
        <v/>
      </c>
      <c r="I41" s="22" t="str">
        <f>IF(H41="","",(H41+I40-J41))</f>
        <v/>
      </c>
      <c r="J41" s="6">
        <v>0</v>
      </c>
      <c r="K41" s="23"/>
      <c r="L41" s="45">
        <f t="shared" si="4"/>
        <v>0</v>
      </c>
      <c r="M41" s="23">
        <f t="shared" si="36"/>
        <v>0</v>
      </c>
      <c r="N41" s="12">
        <v>0</v>
      </c>
      <c r="O41" s="12">
        <v>0</v>
      </c>
      <c r="P41" s="12">
        <v>0</v>
      </c>
      <c r="Q41" s="16"/>
      <c r="R41" s="16"/>
    </row>
    <row r="42" spans="2:18" ht="40.200000000000003" customHeight="1" x14ac:dyDescent="0.4">
      <c r="B42" s="38"/>
      <c r="C42" s="3"/>
      <c r="D42" s="11"/>
      <c r="E42" s="40" t="s">
        <v>31</v>
      </c>
      <c r="F42" s="37">
        <f t="shared" si="1"/>
        <v>0</v>
      </c>
      <c r="G42" s="21"/>
      <c r="H42" s="21" t="str">
        <f t="shared" ref="H42:H49" si="37">IF(G42="","",(G42))</f>
        <v/>
      </c>
      <c r="I42" s="22" t="str">
        <f>IF(H42="","",(H42+I41-J42))</f>
        <v/>
      </c>
      <c r="J42" s="6">
        <v>0</v>
      </c>
      <c r="K42" s="23"/>
      <c r="L42" s="45">
        <f t="shared" si="4"/>
        <v>0</v>
      </c>
      <c r="M42" s="23">
        <f t="shared" ref="M42:M43" si="38">G42</f>
        <v>0</v>
      </c>
      <c r="N42" s="12">
        <v>0</v>
      </c>
      <c r="O42" s="12">
        <v>0</v>
      </c>
      <c r="P42" s="12">
        <v>0</v>
      </c>
      <c r="Q42" s="16"/>
      <c r="R42" s="16"/>
    </row>
    <row r="43" spans="2:18" ht="40.200000000000003" customHeight="1" x14ac:dyDescent="0.4">
      <c r="B43" s="38"/>
      <c r="C43" s="3"/>
      <c r="D43" s="11"/>
      <c r="E43" s="40" t="s">
        <v>31</v>
      </c>
      <c r="F43" s="37">
        <f t="shared" si="1"/>
        <v>0</v>
      </c>
      <c r="G43" s="21"/>
      <c r="H43" s="21" t="str">
        <f t="shared" si="37"/>
        <v/>
      </c>
      <c r="I43" s="22" t="str">
        <f t="shared" ref="I43:I46" si="39">IF(H43="","",(H43+I42-J43))</f>
        <v/>
      </c>
      <c r="J43" s="6">
        <v>0</v>
      </c>
      <c r="K43" s="23"/>
      <c r="L43" s="45">
        <f t="shared" si="4"/>
        <v>0</v>
      </c>
      <c r="M43" s="23">
        <f t="shared" si="38"/>
        <v>0</v>
      </c>
      <c r="N43" s="12">
        <v>0</v>
      </c>
      <c r="O43" s="12">
        <v>0</v>
      </c>
      <c r="P43" s="12">
        <v>0</v>
      </c>
      <c r="Q43" s="16"/>
      <c r="R43" s="16"/>
    </row>
    <row r="44" spans="2:18" ht="40.200000000000003" customHeight="1" x14ac:dyDescent="0.4">
      <c r="B44" s="38"/>
      <c r="C44" s="3"/>
      <c r="D44" s="11"/>
      <c r="E44" s="40" t="s">
        <v>31</v>
      </c>
      <c r="F44" s="37">
        <f t="shared" si="1"/>
        <v>0</v>
      </c>
      <c r="G44" s="21"/>
      <c r="H44" s="21" t="str">
        <f t="shared" si="37"/>
        <v/>
      </c>
      <c r="I44" s="22" t="str">
        <f t="shared" si="39"/>
        <v/>
      </c>
      <c r="J44" s="6">
        <v>0</v>
      </c>
      <c r="K44" s="23"/>
      <c r="L44" s="45">
        <f t="shared" si="4"/>
        <v>0</v>
      </c>
      <c r="M44" s="23">
        <f t="shared" ref="M44:M46" si="40">G44</f>
        <v>0</v>
      </c>
      <c r="N44" s="12">
        <v>0</v>
      </c>
      <c r="O44" s="12">
        <v>0</v>
      </c>
      <c r="P44" s="12">
        <v>0</v>
      </c>
      <c r="Q44" s="16"/>
      <c r="R44" s="16"/>
    </row>
    <row r="45" spans="2:18" ht="40.200000000000003" customHeight="1" x14ac:dyDescent="0.4">
      <c r="B45" s="38"/>
      <c r="C45" s="3"/>
      <c r="D45" s="11"/>
      <c r="E45" s="40" t="s">
        <v>31</v>
      </c>
      <c r="F45" s="37">
        <f t="shared" si="1"/>
        <v>0</v>
      </c>
      <c r="G45" s="21"/>
      <c r="H45" s="21" t="str">
        <f t="shared" si="37"/>
        <v/>
      </c>
      <c r="I45" s="22" t="str">
        <f t="shared" si="39"/>
        <v/>
      </c>
      <c r="J45" s="6">
        <v>0</v>
      </c>
      <c r="K45" s="23"/>
      <c r="L45" s="45">
        <f t="shared" si="4"/>
        <v>0</v>
      </c>
      <c r="M45" s="23">
        <f t="shared" si="40"/>
        <v>0</v>
      </c>
      <c r="N45" s="12">
        <v>0</v>
      </c>
      <c r="O45" s="12">
        <v>0</v>
      </c>
      <c r="P45" s="12">
        <v>0</v>
      </c>
      <c r="Q45" s="16"/>
      <c r="R45" s="16"/>
    </row>
    <row r="46" spans="2:18" ht="40.200000000000003" customHeight="1" x14ac:dyDescent="0.4">
      <c r="B46" s="38"/>
      <c r="C46" s="3"/>
      <c r="D46" s="11"/>
      <c r="E46" s="40" t="s">
        <v>31</v>
      </c>
      <c r="F46" s="37">
        <f t="shared" si="1"/>
        <v>0</v>
      </c>
      <c r="G46" s="21"/>
      <c r="H46" s="21" t="str">
        <f t="shared" si="37"/>
        <v/>
      </c>
      <c r="I46" s="22" t="str">
        <f t="shared" si="39"/>
        <v/>
      </c>
      <c r="J46" s="6">
        <v>0</v>
      </c>
      <c r="K46" s="23"/>
      <c r="L46" s="45">
        <f t="shared" si="4"/>
        <v>0</v>
      </c>
      <c r="M46" s="23">
        <f t="shared" si="40"/>
        <v>0</v>
      </c>
      <c r="N46" s="12">
        <v>0</v>
      </c>
      <c r="O46" s="12">
        <v>0</v>
      </c>
      <c r="P46" s="12">
        <v>0</v>
      </c>
      <c r="Q46" s="16"/>
      <c r="R46" s="16"/>
    </row>
    <row r="47" spans="2:18" ht="40.200000000000003" customHeight="1" x14ac:dyDescent="0.4">
      <c r="B47" s="38"/>
      <c r="C47" s="3"/>
      <c r="D47" s="11"/>
      <c r="E47" s="40" t="s">
        <v>31</v>
      </c>
      <c r="F47" s="37">
        <f t="shared" si="1"/>
        <v>0</v>
      </c>
      <c r="G47" s="21"/>
      <c r="H47" s="21" t="str">
        <f t="shared" si="37"/>
        <v/>
      </c>
      <c r="I47" s="22" t="str">
        <f t="shared" ref="I47:I49" si="41">IF(H47="","",(H47+I46-J47))</f>
        <v/>
      </c>
      <c r="J47" s="6">
        <v>0</v>
      </c>
      <c r="K47" s="23"/>
      <c r="L47" s="45">
        <f t="shared" si="4"/>
        <v>0</v>
      </c>
      <c r="M47" s="23">
        <f t="shared" ref="M47:M49" si="42">G47</f>
        <v>0</v>
      </c>
      <c r="N47" s="12">
        <v>0</v>
      </c>
      <c r="O47" s="12">
        <v>0</v>
      </c>
      <c r="P47" s="12">
        <v>0</v>
      </c>
      <c r="Q47" s="16"/>
      <c r="R47" s="16"/>
    </row>
    <row r="48" spans="2:18" ht="40.200000000000003" customHeight="1" x14ac:dyDescent="0.4">
      <c r="B48" s="38"/>
      <c r="C48" s="3"/>
      <c r="D48" s="11"/>
      <c r="E48" s="40" t="s">
        <v>31</v>
      </c>
      <c r="F48" s="37">
        <f t="shared" si="1"/>
        <v>0</v>
      </c>
      <c r="G48" s="21"/>
      <c r="H48" s="21" t="str">
        <f t="shared" si="37"/>
        <v/>
      </c>
      <c r="I48" s="22" t="str">
        <f t="shared" si="41"/>
        <v/>
      </c>
      <c r="J48" s="6">
        <v>0</v>
      </c>
      <c r="K48" s="23"/>
      <c r="L48" s="45">
        <f t="shared" si="4"/>
        <v>0</v>
      </c>
      <c r="M48" s="23">
        <f t="shared" si="42"/>
        <v>0</v>
      </c>
      <c r="N48" s="12">
        <v>0</v>
      </c>
      <c r="O48" s="12">
        <v>0</v>
      </c>
      <c r="P48" s="12">
        <v>0</v>
      </c>
      <c r="Q48" s="16"/>
      <c r="R48" s="16"/>
    </row>
    <row r="49" spans="2:18" ht="40.200000000000003" customHeight="1" x14ac:dyDescent="0.4">
      <c r="B49" s="38"/>
      <c r="C49" s="3"/>
      <c r="D49" s="11"/>
      <c r="E49" s="40" t="s">
        <v>31</v>
      </c>
      <c r="F49" s="37">
        <f t="shared" si="1"/>
        <v>0</v>
      </c>
      <c r="G49" s="21"/>
      <c r="H49" s="21" t="str">
        <f t="shared" si="37"/>
        <v/>
      </c>
      <c r="I49" s="22" t="str">
        <f t="shared" si="41"/>
        <v/>
      </c>
      <c r="J49" s="6">
        <v>0</v>
      </c>
      <c r="K49" s="23"/>
      <c r="L49" s="45">
        <f t="shared" si="4"/>
        <v>0</v>
      </c>
      <c r="M49" s="23">
        <f t="shared" si="42"/>
        <v>0</v>
      </c>
      <c r="N49" s="12">
        <v>0</v>
      </c>
      <c r="O49" s="12">
        <v>0</v>
      </c>
      <c r="P49" s="12">
        <v>0</v>
      </c>
      <c r="Q49" s="16"/>
      <c r="R49" s="16"/>
    </row>
    <row r="50" spans="2:18" ht="40.200000000000003" customHeight="1" x14ac:dyDescent="0.4">
      <c r="B50" s="38"/>
      <c r="C50" s="3"/>
      <c r="D50" s="11"/>
      <c r="E50" s="40" t="s">
        <v>31</v>
      </c>
      <c r="F50" s="37">
        <f t="shared" si="1"/>
        <v>0</v>
      </c>
      <c r="G50" s="21"/>
      <c r="H50" s="21" t="str">
        <f t="shared" ref="H50" si="43">IF(G50="","",(G50))</f>
        <v/>
      </c>
      <c r="I50" s="22" t="str">
        <f t="shared" ref="I50" si="44">IF(H50="","",(H50+I49-J50))</f>
        <v/>
      </c>
      <c r="J50" s="6">
        <v>0</v>
      </c>
      <c r="K50" s="23"/>
      <c r="L50" s="45">
        <f t="shared" si="4"/>
        <v>0</v>
      </c>
      <c r="M50" s="23">
        <f t="shared" ref="M50" si="45">G50</f>
        <v>0</v>
      </c>
      <c r="N50" s="12">
        <v>0</v>
      </c>
      <c r="O50" s="12">
        <v>0</v>
      </c>
      <c r="P50" s="12">
        <v>0</v>
      </c>
      <c r="Q50" s="16"/>
      <c r="R50" s="16"/>
    </row>
    <row r="51" spans="2:18" ht="40.200000000000003" customHeight="1" x14ac:dyDescent="0.4">
      <c r="B51" s="38"/>
      <c r="C51" s="3"/>
      <c r="D51" s="11"/>
      <c r="E51" s="40" t="s">
        <v>31</v>
      </c>
      <c r="F51" s="37">
        <f t="shared" si="1"/>
        <v>0</v>
      </c>
      <c r="G51" s="21"/>
      <c r="H51" s="21" t="str">
        <f t="shared" ref="H51:H52" si="46">IF(G51="","",(G51))</f>
        <v/>
      </c>
      <c r="I51" s="22" t="str">
        <f t="shared" ref="I51:I52" si="47">IF(H51="","",(H51+I50-J51))</f>
        <v/>
      </c>
      <c r="J51" s="6">
        <v>0</v>
      </c>
      <c r="K51" s="23"/>
      <c r="L51" s="45">
        <f t="shared" si="4"/>
        <v>0</v>
      </c>
      <c r="M51" s="23">
        <f t="shared" ref="M51:M52" si="48">G51</f>
        <v>0</v>
      </c>
      <c r="N51" s="12">
        <v>0</v>
      </c>
      <c r="O51" s="12">
        <v>0</v>
      </c>
      <c r="P51" s="12">
        <v>0</v>
      </c>
      <c r="Q51" s="16"/>
      <c r="R51" s="16"/>
    </row>
    <row r="52" spans="2:18" ht="40.200000000000003" customHeight="1" x14ac:dyDescent="0.4">
      <c r="B52" s="38"/>
      <c r="C52" s="3"/>
      <c r="D52" s="11"/>
      <c r="E52" s="40" t="s">
        <v>31</v>
      </c>
      <c r="F52" s="37">
        <f t="shared" si="1"/>
        <v>0</v>
      </c>
      <c r="G52" s="21"/>
      <c r="H52" s="21" t="str">
        <f t="shared" si="46"/>
        <v/>
      </c>
      <c r="I52" s="22" t="str">
        <f t="shared" si="47"/>
        <v/>
      </c>
      <c r="J52" s="6">
        <v>0</v>
      </c>
      <c r="K52" s="23"/>
      <c r="L52" s="45">
        <f t="shared" si="4"/>
        <v>0</v>
      </c>
      <c r="M52" s="23">
        <f t="shared" si="48"/>
        <v>0</v>
      </c>
      <c r="N52" s="12">
        <v>0</v>
      </c>
      <c r="O52" s="12">
        <v>0</v>
      </c>
      <c r="P52" s="12">
        <v>0</v>
      </c>
      <c r="Q52" s="16"/>
      <c r="R52" s="16"/>
    </row>
    <row r="53" spans="2:18" ht="40.200000000000003" customHeight="1" x14ac:dyDescent="0.4">
      <c r="B53" s="38"/>
      <c r="C53" s="3"/>
      <c r="D53" s="11"/>
      <c r="E53" s="40" t="s">
        <v>31</v>
      </c>
      <c r="F53" s="37">
        <f t="shared" si="1"/>
        <v>0</v>
      </c>
      <c r="G53" s="21"/>
      <c r="H53" s="21" t="str">
        <f t="shared" ref="H53:H55" si="49">IF(G53="","",(G53))</f>
        <v/>
      </c>
      <c r="I53" s="22" t="str">
        <f t="shared" ref="I53:I55" si="50">IF(H53="","",(H53+I52-J53))</f>
        <v/>
      </c>
      <c r="J53" s="6">
        <v>0</v>
      </c>
      <c r="K53" s="23"/>
      <c r="L53" s="45">
        <f t="shared" si="4"/>
        <v>0</v>
      </c>
      <c r="M53" s="23">
        <f t="shared" ref="M53:M55" si="51">G53</f>
        <v>0</v>
      </c>
      <c r="N53" s="12">
        <v>0</v>
      </c>
      <c r="O53" s="12">
        <v>0</v>
      </c>
      <c r="P53" s="12">
        <v>0</v>
      </c>
      <c r="Q53" s="16"/>
      <c r="R53" s="16"/>
    </row>
    <row r="54" spans="2:18" ht="40.200000000000003" customHeight="1" x14ac:dyDescent="0.4">
      <c r="B54" s="38"/>
      <c r="C54" s="3"/>
      <c r="D54" s="11"/>
      <c r="E54" s="40" t="s">
        <v>31</v>
      </c>
      <c r="F54" s="37">
        <f t="shared" si="1"/>
        <v>0</v>
      </c>
      <c r="G54" s="21"/>
      <c r="H54" s="21" t="str">
        <f t="shared" si="49"/>
        <v/>
      </c>
      <c r="I54" s="22" t="str">
        <f t="shared" si="50"/>
        <v/>
      </c>
      <c r="J54" s="6">
        <v>0</v>
      </c>
      <c r="K54" s="23"/>
      <c r="L54" s="45">
        <f t="shared" si="4"/>
        <v>0</v>
      </c>
      <c r="M54" s="23">
        <f t="shared" si="51"/>
        <v>0</v>
      </c>
      <c r="N54" s="12">
        <v>0</v>
      </c>
      <c r="O54" s="12">
        <v>0</v>
      </c>
      <c r="P54" s="12">
        <v>0</v>
      </c>
      <c r="Q54" s="16"/>
      <c r="R54" s="16"/>
    </row>
    <row r="55" spans="2:18" ht="40.200000000000003" customHeight="1" x14ac:dyDescent="0.4">
      <c r="B55" s="38"/>
      <c r="C55" s="3"/>
      <c r="D55" s="11"/>
      <c r="E55" s="40" t="s">
        <v>31</v>
      </c>
      <c r="F55" s="37">
        <f t="shared" si="1"/>
        <v>0</v>
      </c>
      <c r="G55" s="21"/>
      <c r="H55" s="21" t="str">
        <f t="shared" si="49"/>
        <v/>
      </c>
      <c r="I55" s="22" t="str">
        <f t="shared" si="50"/>
        <v/>
      </c>
      <c r="J55" s="6">
        <v>0</v>
      </c>
      <c r="K55" s="23"/>
      <c r="L55" s="45">
        <f t="shared" si="4"/>
        <v>0</v>
      </c>
      <c r="M55" s="23">
        <f t="shared" si="51"/>
        <v>0</v>
      </c>
      <c r="N55" s="12">
        <v>0</v>
      </c>
      <c r="O55" s="12">
        <v>0</v>
      </c>
      <c r="P55" s="12">
        <v>0</v>
      </c>
      <c r="Q55" s="16"/>
      <c r="R55" s="16"/>
    </row>
    <row r="56" spans="2:18" ht="40.200000000000003" customHeight="1" x14ac:dyDescent="0.4">
      <c r="B56" s="38"/>
      <c r="C56" s="3"/>
      <c r="D56" s="11"/>
      <c r="E56" s="40" t="s">
        <v>31</v>
      </c>
      <c r="F56" s="37">
        <f t="shared" si="1"/>
        <v>0</v>
      </c>
      <c r="G56" s="21"/>
      <c r="H56" s="21" t="str">
        <f t="shared" ref="H56:H59" si="52">IF(G56="","",(G56))</f>
        <v/>
      </c>
      <c r="I56" s="22" t="str">
        <f t="shared" ref="I56:I62" si="53">IF(H56="","",(H56+I55-J56))</f>
        <v/>
      </c>
      <c r="J56" s="6">
        <v>0</v>
      </c>
      <c r="K56" s="23"/>
      <c r="L56" s="45">
        <f t="shared" si="4"/>
        <v>0</v>
      </c>
      <c r="M56" s="23">
        <f t="shared" ref="M56:M59" si="54">G56</f>
        <v>0</v>
      </c>
      <c r="N56" s="12">
        <v>0</v>
      </c>
      <c r="O56" s="12">
        <v>0</v>
      </c>
      <c r="P56" s="12">
        <v>0</v>
      </c>
      <c r="Q56" s="16"/>
      <c r="R56" s="16"/>
    </row>
    <row r="57" spans="2:18" ht="40.200000000000003" customHeight="1" x14ac:dyDescent="0.4">
      <c r="B57" s="38"/>
      <c r="C57" s="3"/>
      <c r="D57" s="11"/>
      <c r="E57" s="40" t="s">
        <v>31</v>
      </c>
      <c r="F57" s="37">
        <f t="shared" si="1"/>
        <v>0</v>
      </c>
      <c r="G57" s="21"/>
      <c r="H57" s="21" t="str">
        <f t="shared" si="52"/>
        <v/>
      </c>
      <c r="I57" s="22" t="str">
        <f t="shared" si="53"/>
        <v/>
      </c>
      <c r="J57" s="6">
        <v>0</v>
      </c>
      <c r="K57" s="23"/>
      <c r="L57" s="45">
        <f t="shared" si="4"/>
        <v>0</v>
      </c>
      <c r="M57" s="23">
        <f t="shared" si="54"/>
        <v>0</v>
      </c>
      <c r="N57" s="12">
        <v>0</v>
      </c>
      <c r="O57" s="12">
        <v>0</v>
      </c>
      <c r="P57" s="12">
        <v>0</v>
      </c>
      <c r="Q57" s="16"/>
      <c r="R57" s="16"/>
    </row>
    <row r="58" spans="2:18" ht="40.200000000000003" customHeight="1" x14ac:dyDescent="0.4">
      <c r="B58" s="38"/>
      <c r="C58" s="3"/>
      <c r="D58" s="11"/>
      <c r="E58" s="40" t="s">
        <v>31</v>
      </c>
      <c r="F58" s="37">
        <f t="shared" si="1"/>
        <v>0</v>
      </c>
      <c r="G58" s="21"/>
      <c r="H58" s="21" t="str">
        <f t="shared" si="52"/>
        <v/>
      </c>
      <c r="I58" s="22" t="str">
        <f t="shared" si="53"/>
        <v/>
      </c>
      <c r="J58" s="6">
        <v>0</v>
      </c>
      <c r="K58" s="23"/>
      <c r="L58" s="45">
        <f t="shared" si="4"/>
        <v>0</v>
      </c>
      <c r="M58" s="23">
        <f t="shared" si="54"/>
        <v>0</v>
      </c>
      <c r="N58" s="12">
        <v>0</v>
      </c>
      <c r="O58" s="12">
        <v>0</v>
      </c>
      <c r="P58" s="12">
        <v>0</v>
      </c>
      <c r="Q58" s="16"/>
      <c r="R58" s="16"/>
    </row>
    <row r="59" spans="2:18" ht="40.200000000000003" customHeight="1" x14ac:dyDescent="0.4">
      <c r="B59" s="38"/>
      <c r="C59" s="3"/>
      <c r="D59" s="11"/>
      <c r="E59" s="40" t="s">
        <v>31</v>
      </c>
      <c r="F59" s="37">
        <f t="shared" si="1"/>
        <v>0</v>
      </c>
      <c r="G59" s="21"/>
      <c r="H59" s="21" t="str">
        <f t="shared" si="52"/>
        <v/>
      </c>
      <c r="I59" s="22" t="str">
        <f t="shared" si="53"/>
        <v/>
      </c>
      <c r="J59" s="6">
        <v>0</v>
      </c>
      <c r="K59" s="23"/>
      <c r="L59" s="45">
        <f t="shared" si="4"/>
        <v>0</v>
      </c>
      <c r="M59" s="23">
        <f t="shared" si="54"/>
        <v>0</v>
      </c>
      <c r="N59" s="12">
        <v>0</v>
      </c>
      <c r="O59" s="12">
        <v>0</v>
      </c>
      <c r="P59" s="12">
        <v>0</v>
      </c>
      <c r="Q59" s="16"/>
      <c r="R59" s="16"/>
    </row>
    <row r="60" spans="2:18" ht="40.200000000000003" customHeight="1" x14ac:dyDescent="0.4">
      <c r="B60" s="38"/>
      <c r="C60" s="3"/>
      <c r="D60" s="11"/>
      <c r="E60" s="40" t="s">
        <v>31</v>
      </c>
      <c r="F60" s="37">
        <f t="shared" si="1"/>
        <v>0</v>
      </c>
      <c r="G60" s="21"/>
      <c r="H60" s="21" t="str">
        <f t="shared" ref="H60:H63" si="55">IF(G60="","",(G60))</f>
        <v/>
      </c>
      <c r="I60" s="22" t="str">
        <f t="shared" si="53"/>
        <v/>
      </c>
      <c r="J60" s="6">
        <v>0</v>
      </c>
      <c r="K60" s="23"/>
      <c r="L60" s="45">
        <f t="shared" si="4"/>
        <v>0</v>
      </c>
      <c r="M60" s="23">
        <f t="shared" ref="M60:M63" si="56">G60</f>
        <v>0</v>
      </c>
      <c r="N60" s="12">
        <v>0</v>
      </c>
      <c r="O60" s="12">
        <v>0</v>
      </c>
      <c r="P60" s="12">
        <v>0</v>
      </c>
      <c r="Q60" s="16"/>
      <c r="R60" s="16"/>
    </row>
    <row r="61" spans="2:18" ht="40.200000000000003" customHeight="1" x14ac:dyDescent="0.4">
      <c r="B61" s="38"/>
      <c r="C61" s="3"/>
      <c r="D61" s="11"/>
      <c r="E61" s="40" t="s">
        <v>31</v>
      </c>
      <c r="F61" s="37">
        <f t="shared" si="1"/>
        <v>0</v>
      </c>
      <c r="G61" s="21"/>
      <c r="H61" s="21" t="str">
        <f t="shared" si="55"/>
        <v/>
      </c>
      <c r="I61" s="22" t="str">
        <f t="shared" si="53"/>
        <v/>
      </c>
      <c r="J61" s="6">
        <v>0</v>
      </c>
      <c r="K61" s="23"/>
      <c r="L61" s="45">
        <f t="shared" si="4"/>
        <v>0</v>
      </c>
      <c r="M61" s="23">
        <f t="shared" si="56"/>
        <v>0</v>
      </c>
      <c r="N61" s="12">
        <v>0</v>
      </c>
      <c r="O61" s="12">
        <v>0</v>
      </c>
      <c r="P61" s="12">
        <v>0</v>
      </c>
      <c r="Q61" s="16"/>
      <c r="R61" s="16"/>
    </row>
    <row r="62" spans="2:18" ht="40.200000000000003" customHeight="1" x14ac:dyDescent="0.4">
      <c r="B62" s="38"/>
      <c r="C62" s="3"/>
      <c r="D62" s="11"/>
      <c r="E62" s="40" t="s">
        <v>31</v>
      </c>
      <c r="F62" s="37">
        <f t="shared" si="1"/>
        <v>0</v>
      </c>
      <c r="G62" s="21"/>
      <c r="H62" s="21" t="str">
        <f t="shared" si="55"/>
        <v/>
      </c>
      <c r="I62" s="22" t="str">
        <f t="shared" si="53"/>
        <v/>
      </c>
      <c r="J62" s="6">
        <v>0</v>
      </c>
      <c r="K62" s="23"/>
      <c r="L62" s="45">
        <f t="shared" si="4"/>
        <v>0</v>
      </c>
      <c r="M62" s="23">
        <f t="shared" si="56"/>
        <v>0</v>
      </c>
      <c r="N62" s="12">
        <v>0</v>
      </c>
      <c r="O62" s="12">
        <v>0</v>
      </c>
      <c r="P62" s="12">
        <v>0</v>
      </c>
      <c r="Q62" s="16"/>
      <c r="R62" s="16"/>
    </row>
    <row r="63" spans="2:18" ht="40.200000000000003" customHeight="1" x14ac:dyDescent="0.4">
      <c r="B63" s="38"/>
      <c r="C63" s="3"/>
      <c r="D63" s="11"/>
      <c r="E63" s="40" t="s">
        <v>31</v>
      </c>
      <c r="F63" s="37">
        <f t="shared" si="1"/>
        <v>0</v>
      </c>
      <c r="G63" s="21"/>
      <c r="H63" s="21" t="str">
        <f t="shared" si="55"/>
        <v/>
      </c>
      <c r="I63" s="22" t="str">
        <f t="shared" ref="I63:I64" si="57">IF(H63="","",(H63+I62-J63))</f>
        <v/>
      </c>
      <c r="J63" s="6">
        <v>0</v>
      </c>
      <c r="K63" s="23"/>
      <c r="L63" s="45">
        <f t="shared" si="4"/>
        <v>0</v>
      </c>
      <c r="M63" s="23">
        <f t="shared" si="56"/>
        <v>0</v>
      </c>
      <c r="N63" s="12">
        <v>0</v>
      </c>
      <c r="O63" s="12">
        <v>0</v>
      </c>
      <c r="P63" s="12">
        <v>0</v>
      </c>
      <c r="Q63" s="16"/>
      <c r="R63" s="16"/>
    </row>
    <row r="64" spans="2:18" ht="40.200000000000003" customHeight="1" x14ac:dyDescent="0.4">
      <c r="B64" s="38"/>
      <c r="C64" s="3"/>
      <c r="D64" s="11"/>
      <c r="E64" s="40" t="s">
        <v>31</v>
      </c>
      <c r="F64" s="37">
        <f t="shared" si="1"/>
        <v>0</v>
      </c>
      <c r="G64" s="21"/>
      <c r="H64" s="21" t="str">
        <f t="shared" ref="H64:H65" si="58">IF(G64="","",(G64))</f>
        <v/>
      </c>
      <c r="I64" s="22" t="str">
        <f t="shared" si="57"/>
        <v/>
      </c>
      <c r="J64" s="6">
        <v>0</v>
      </c>
      <c r="K64" s="23"/>
      <c r="L64" s="45">
        <f t="shared" si="4"/>
        <v>0</v>
      </c>
      <c r="M64" s="23">
        <f t="shared" ref="M64:M65" si="59">G64</f>
        <v>0</v>
      </c>
      <c r="N64" s="12">
        <v>0</v>
      </c>
      <c r="O64" s="12">
        <v>0</v>
      </c>
      <c r="P64" s="12">
        <v>0</v>
      </c>
      <c r="Q64" s="16"/>
      <c r="R64" s="16"/>
    </row>
    <row r="65" spans="2:18" ht="40.200000000000003" customHeight="1" x14ac:dyDescent="0.4">
      <c r="B65" s="38"/>
      <c r="C65" s="3"/>
      <c r="D65" s="11"/>
      <c r="E65" s="40" t="s">
        <v>31</v>
      </c>
      <c r="F65" s="37">
        <f t="shared" si="1"/>
        <v>0</v>
      </c>
      <c r="G65" s="21"/>
      <c r="H65" s="21" t="str">
        <f t="shared" si="58"/>
        <v/>
      </c>
      <c r="I65" s="22" t="str">
        <f t="shared" ref="I65" si="60">IF(H65="","",(H65+I64-J65))</f>
        <v/>
      </c>
      <c r="J65" s="6">
        <v>0</v>
      </c>
      <c r="K65" s="23"/>
      <c r="L65" s="45">
        <f t="shared" si="4"/>
        <v>0</v>
      </c>
      <c r="M65" s="23">
        <f t="shared" si="59"/>
        <v>0</v>
      </c>
      <c r="N65" s="12">
        <v>0</v>
      </c>
      <c r="O65" s="12">
        <v>0</v>
      </c>
      <c r="P65" s="12">
        <v>0</v>
      </c>
      <c r="Q65" s="16"/>
      <c r="R65" s="16"/>
    </row>
    <row r="66" spans="2:18" ht="40.200000000000003" customHeight="1" x14ac:dyDescent="0.4">
      <c r="B66" s="38"/>
      <c r="C66" s="3"/>
      <c r="D66" s="11"/>
      <c r="E66" s="40" t="s">
        <v>31</v>
      </c>
      <c r="F66" s="37">
        <f t="shared" si="1"/>
        <v>0</v>
      </c>
      <c r="G66" s="21"/>
      <c r="H66" s="21" t="str">
        <f t="shared" ref="H66:H67" si="61">IF(G66="","",(G66))</f>
        <v/>
      </c>
      <c r="I66" s="22" t="str">
        <f t="shared" ref="I66:I67" si="62">IF(H66="","",(H66+I65-J66))</f>
        <v/>
      </c>
      <c r="J66" s="6">
        <v>0</v>
      </c>
      <c r="K66" s="23"/>
      <c r="L66" s="45">
        <f t="shared" si="4"/>
        <v>0</v>
      </c>
      <c r="M66" s="23">
        <f t="shared" ref="M66:M67" si="63">G66</f>
        <v>0</v>
      </c>
      <c r="N66" s="12">
        <v>0</v>
      </c>
      <c r="O66" s="12">
        <v>0</v>
      </c>
      <c r="P66" s="12">
        <v>0</v>
      </c>
      <c r="Q66" s="16"/>
      <c r="R66" s="16"/>
    </row>
    <row r="67" spans="2:18" ht="40.200000000000003" customHeight="1" x14ac:dyDescent="0.4">
      <c r="B67" s="38"/>
      <c r="C67" s="3"/>
      <c r="D67" s="11"/>
      <c r="E67" s="40" t="s">
        <v>31</v>
      </c>
      <c r="F67" s="37">
        <f t="shared" si="1"/>
        <v>0</v>
      </c>
      <c r="G67" s="21"/>
      <c r="H67" s="21" t="str">
        <f t="shared" si="61"/>
        <v/>
      </c>
      <c r="I67" s="22" t="str">
        <f t="shared" si="62"/>
        <v/>
      </c>
      <c r="J67" s="6">
        <v>0</v>
      </c>
      <c r="K67" s="23"/>
      <c r="L67" s="45">
        <f t="shared" si="4"/>
        <v>0</v>
      </c>
      <c r="M67" s="23">
        <f t="shared" si="63"/>
        <v>0</v>
      </c>
      <c r="N67" s="12">
        <v>0</v>
      </c>
      <c r="O67" s="12">
        <v>0</v>
      </c>
      <c r="P67" s="12">
        <v>0</v>
      </c>
      <c r="Q67" s="16"/>
      <c r="R67" s="16"/>
    </row>
    <row r="68" spans="2:18" ht="40.200000000000003" customHeight="1" x14ac:dyDescent="0.4">
      <c r="B68" s="38"/>
      <c r="C68" s="3"/>
      <c r="D68" s="11"/>
      <c r="E68" s="40" t="s">
        <v>31</v>
      </c>
      <c r="F68" s="37">
        <f t="shared" si="1"/>
        <v>0</v>
      </c>
      <c r="G68" s="21"/>
      <c r="H68" s="21" t="str">
        <f t="shared" ref="H68:H69" si="64">IF(G68="","",(G68))</f>
        <v/>
      </c>
      <c r="I68" s="22" t="str">
        <f t="shared" ref="I68:I69" si="65">IF(H68="","",(H68+I67-J68))</f>
        <v/>
      </c>
      <c r="J68" s="6">
        <v>0</v>
      </c>
      <c r="K68" s="23"/>
      <c r="L68" s="45">
        <f t="shared" si="4"/>
        <v>0</v>
      </c>
      <c r="M68" s="23">
        <f t="shared" ref="M68:M69" si="66">G68</f>
        <v>0</v>
      </c>
      <c r="N68" s="12">
        <v>0</v>
      </c>
      <c r="O68" s="12">
        <v>0</v>
      </c>
      <c r="P68" s="12">
        <v>0</v>
      </c>
      <c r="Q68" s="16"/>
      <c r="R68" s="16"/>
    </row>
    <row r="69" spans="2:18" ht="40.200000000000003" customHeight="1" x14ac:dyDescent="0.4">
      <c r="B69" s="38"/>
      <c r="C69" s="3"/>
      <c r="D69" s="11"/>
      <c r="E69" s="40" t="s">
        <v>31</v>
      </c>
      <c r="F69" s="37">
        <f t="shared" ref="F69:F70" si="67">G69</f>
        <v>0</v>
      </c>
      <c r="G69" s="21"/>
      <c r="H69" s="21" t="str">
        <f t="shared" si="64"/>
        <v/>
      </c>
      <c r="I69" s="22" t="str">
        <f t="shared" si="65"/>
        <v/>
      </c>
      <c r="J69" s="6">
        <v>0</v>
      </c>
      <c r="K69" s="23"/>
      <c r="L69" s="45">
        <f t="shared" si="4"/>
        <v>0</v>
      </c>
      <c r="M69" s="23">
        <f t="shared" si="66"/>
        <v>0</v>
      </c>
      <c r="N69" s="12">
        <v>0</v>
      </c>
      <c r="O69" s="12">
        <v>0</v>
      </c>
      <c r="P69" s="12">
        <v>0</v>
      </c>
      <c r="Q69" s="16"/>
      <c r="R69" s="16"/>
    </row>
    <row r="70" spans="2:18" ht="40.200000000000003" customHeight="1" x14ac:dyDescent="0.4">
      <c r="B70" s="38"/>
      <c r="C70" s="3"/>
      <c r="D70" s="11"/>
      <c r="E70" s="40" t="s">
        <v>31</v>
      </c>
      <c r="F70" s="37">
        <f t="shared" si="67"/>
        <v>0</v>
      </c>
      <c r="G70" s="21"/>
      <c r="H70" s="21" t="str">
        <f t="shared" ref="H70" si="68">IF(G70="","",(G70))</f>
        <v/>
      </c>
      <c r="I70" s="22" t="str">
        <f t="shared" ref="I70" si="69">IF(H70="","",(H70+I69-J70))</f>
        <v/>
      </c>
      <c r="J70" s="6">
        <v>0</v>
      </c>
      <c r="K70" s="23"/>
      <c r="L70" s="45">
        <f t="shared" si="4"/>
        <v>0</v>
      </c>
      <c r="M70" s="23">
        <f t="shared" ref="M70" si="70">G70</f>
        <v>0</v>
      </c>
      <c r="N70" s="12">
        <v>0</v>
      </c>
      <c r="O70" s="12">
        <v>0</v>
      </c>
      <c r="P70" s="12">
        <v>0</v>
      </c>
      <c r="Q70" s="16"/>
      <c r="R70" s="16"/>
    </row>
    <row r="71" spans="2:18" ht="40.200000000000003" customHeight="1" x14ac:dyDescent="0.4">
      <c r="B71" s="38"/>
      <c r="C71" s="3"/>
      <c r="D71" s="11"/>
      <c r="E71" s="40" t="s">
        <v>31</v>
      </c>
      <c r="F71" s="37">
        <f t="shared" ref="F71" si="71">G71</f>
        <v>0</v>
      </c>
      <c r="G71" s="21"/>
      <c r="H71" s="21" t="str">
        <f t="shared" ref="H71" si="72">IF(G71="","",(G71))</f>
        <v/>
      </c>
      <c r="I71" s="22" t="str">
        <f t="shared" ref="I71" si="73">IF(H71="","",(H71+I70-J71))</f>
        <v/>
      </c>
      <c r="J71" s="6">
        <v>0</v>
      </c>
      <c r="K71" s="23"/>
      <c r="L71" s="45">
        <f t="shared" si="4"/>
        <v>0</v>
      </c>
      <c r="M71" s="23">
        <f t="shared" ref="M71" si="74">G71</f>
        <v>0</v>
      </c>
      <c r="N71" s="12">
        <v>0</v>
      </c>
      <c r="O71" s="12">
        <v>0</v>
      </c>
      <c r="P71" s="12">
        <v>0</v>
      </c>
      <c r="Q71" s="16"/>
      <c r="R71" s="16"/>
    </row>
    <row r="72" spans="2:18" ht="40.200000000000003" customHeight="1" x14ac:dyDescent="0.4">
      <c r="B72" s="38"/>
      <c r="C72" s="3"/>
      <c r="D72" s="11"/>
      <c r="E72" s="40" t="s">
        <v>31</v>
      </c>
      <c r="F72" s="37">
        <f t="shared" ref="F72:F81" si="75">G72</f>
        <v>0</v>
      </c>
      <c r="G72" s="21"/>
      <c r="H72" s="21" t="str">
        <f t="shared" ref="H72:H73" si="76">IF(G72="","",(G72))</f>
        <v/>
      </c>
      <c r="I72" s="22" t="str">
        <f t="shared" ref="I72:I73" si="77">IF(H72="","",(H72+I71-J72))</f>
        <v/>
      </c>
      <c r="J72" s="6">
        <v>0</v>
      </c>
      <c r="K72" s="23"/>
      <c r="L72" s="45">
        <f t="shared" si="4"/>
        <v>0</v>
      </c>
      <c r="M72" s="23">
        <f t="shared" ref="M72:M73" si="78">G72</f>
        <v>0</v>
      </c>
      <c r="N72" s="12">
        <v>0</v>
      </c>
      <c r="O72" s="12">
        <v>0</v>
      </c>
      <c r="P72" s="12">
        <v>0</v>
      </c>
      <c r="Q72" s="16"/>
      <c r="R72" s="16"/>
    </row>
    <row r="73" spans="2:18" ht="40.200000000000003" customHeight="1" x14ac:dyDescent="0.4">
      <c r="B73" s="91"/>
      <c r="C73" s="3"/>
      <c r="D73" s="11"/>
      <c r="E73" s="40" t="s">
        <v>31</v>
      </c>
      <c r="F73" s="37">
        <f t="shared" si="75"/>
        <v>0</v>
      </c>
      <c r="G73" s="21"/>
      <c r="H73" s="21" t="str">
        <f t="shared" si="76"/>
        <v/>
      </c>
      <c r="I73" s="22" t="str">
        <f t="shared" si="77"/>
        <v/>
      </c>
      <c r="J73" s="6">
        <v>0</v>
      </c>
      <c r="K73" s="23"/>
      <c r="L73" s="45">
        <f t="shared" ref="L73:L77" si="79">C73</f>
        <v>0</v>
      </c>
      <c r="M73" s="23">
        <f t="shared" si="78"/>
        <v>0</v>
      </c>
      <c r="N73" s="12">
        <v>0</v>
      </c>
      <c r="O73" s="12">
        <v>0</v>
      </c>
      <c r="P73" s="12">
        <v>0</v>
      </c>
      <c r="Q73" s="16"/>
      <c r="R73" s="16"/>
    </row>
    <row r="74" spans="2:18" ht="40.200000000000003" customHeight="1" x14ac:dyDescent="0.4">
      <c r="B74" s="91"/>
      <c r="C74" s="3"/>
      <c r="D74" s="11"/>
      <c r="E74" s="40" t="s">
        <v>31</v>
      </c>
      <c r="F74" s="37">
        <f t="shared" si="75"/>
        <v>0</v>
      </c>
      <c r="G74" s="21"/>
      <c r="H74" s="21" t="str">
        <f t="shared" ref="H74" si="80">IF(G74="","",(G74))</f>
        <v/>
      </c>
      <c r="I74" s="22" t="str">
        <f t="shared" ref="I74" si="81">IF(H74="","",(H74+I73-J74))</f>
        <v/>
      </c>
      <c r="J74" s="6">
        <v>0</v>
      </c>
      <c r="K74" s="23"/>
      <c r="L74" s="45">
        <f t="shared" si="79"/>
        <v>0</v>
      </c>
      <c r="M74" s="23">
        <f t="shared" ref="M74" si="82">G74</f>
        <v>0</v>
      </c>
      <c r="N74" s="12">
        <v>0</v>
      </c>
      <c r="O74" s="12">
        <v>0</v>
      </c>
      <c r="P74" s="12">
        <v>0</v>
      </c>
      <c r="Q74" s="16"/>
      <c r="R74" s="16"/>
    </row>
    <row r="75" spans="2:18" ht="40.200000000000003" customHeight="1" x14ac:dyDescent="0.4">
      <c r="B75" s="91"/>
      <c r="C75" s="3"/>
      <c r="D75" s="11"/>
      <c r="E75" s="40" t="s">
        <v>31</v>
      </c>
      <c r="F75" s="37">
        <f t="shared" si="75"/>
        <v>0</v>
      </c>
      <c r="G75" s="21"/>
      <c r="H75" s="21" t="str">
        <f t="shared" ref="H75" si="83">IF(G75="","",(G75))</f>
        <v/>
      </c>
      <c r="I75" s="22" t="str">
        <f t="shared" ref="I75" si="84">IF(H75="","",(H75+I74-J75))</f>
        <v/>
      </c>
      <c r="J75" s="6">
        <v>0</v>
      </c>
      <c r="K75" s="23"/>
      <c r="L75" s="45">
        <f t="shared" si="79"/>
        <v>0</v>
      </c>
      <c r="M75" s="23">
        <f t="shared" ref="M75" si="85">G75</f>
        <v>0</v>
      </c>
      <c r="N75" s="12">
        <v>0</v>
      </c>
      <c r="O75" s="12">
        <v>0</v>
      </c>
      <c r="P75" s="12">
        <v>0</v>
      </c>
      <c r="Q75" s="16"/>
      <c r="R75" s="16"/>
    </row>
    <row r="76" spans="2:18" ht="40.200000000000003" customHeight="1" x14ac:dyDescent="0.4">
      <c r="B76" s="91"/>
      <c r="C76" s="3"/>
      <c r="D76" s="11"/>
      <c r="E76" s="40" t="s">
        <v>31</v>
      </c>
      <c r="F76" s="37">
        <f t="shared" si="75"/>
        <v>0</v>
      </c>
      <c r="G76" s="21"/>
      <c r="H76" s="21" t="str">
        <f t="shared" ref="H76:H77" si="86">IF(G76="","",(G76))</f>
        <v/>
      </c>
      <c r="I76" s="22" t="str">
        <f t="shared" ref="I76:I77" si="87">IF(H76="","",(H76+I75-J76))</f>
        <v/>
      </c>
      <c r="J76" s="6">
        <v>0</v>
      </c>
      <c r="K76" s="23"/>
      <c r="L76" s="45">
        <f t="shared" si="79"/>
        <v>0</v>
      </c>
      <c r="M76" s="23">
        <f t="shared" ref="M76:M77" si="88">G76</f>
        <v>0</v>
      </c>
      <c r="N76" s="12">
        <v>0</v>
      </c>
      <c r="O76" s="12">
        <v>0</v>
      </c>
      <c r="P76" s="12">
        <v>0</v>
      </c>
      <c r="Q76" s="16"/>
      <c r="R76" s="16"/>
    </row>
    <row r="77" spans="2:18" ht="40.200000000000003" customHeight="1" x14ac:dyDescent="0.4">
      <c r="B77" s="91"/>
      <c r="C77" s="3"/>
      <c r="D77" s="11"/>
      <c r="E77" s="40" t="s">
        <v>31</v>
      </c>
      <c r="F77" s="37">
        <f t="shared" si="75"/>
        <v>0</v>
      </c>
      <c r="G77" s="21"/>
      <c r="H77" s="21" t="str">
        <f t="shared" si="86"/>
        <v/>
      </c>
      <c r="I77" s="22" t="str">
        <f t="shared" si="87"/>
        <v/>
      </c>
      <c r="J77" s="6">
        <v>0</v>
      </c>
      <c r="K77" s="23"/>
      <c r="L77" s="45">
        <f t="shared" si="79"/>
        <v>0</v>
      </c>
      <c r="M77" s="23">
        <f t="shared" si="88"/>
        <v>0</v>
      </c>
      <c r="N77" s="12">
        <v>0</v>
      </c>
      <c r="O77" s="12">
        <v>0</v>
      </c>
      <c r="P77" s="12">
        <v>0</v>
      </c>
      <c r="Q77" s="16"/>
      <c r="R77" s="16"/>
    </row>
    <row r="78" spans="2:18" ht="40.200000000000003" customHeight="1" x14ac:dyDescent="0.4">
      <c r="B78" s="91"/>
      <c r="C78" s="3"/>
      <c r="D78" s="11"/>
      <c r="E78" s="61" t="s">
        <v>31</v>
      </c>
      <c r="F78" s="37">
        <f t="shared" si="75"/>
        <v>0</v>
      </c>
      <c r="G78" s="21"/>
      <c r="H78" s="21" t="str">
        <f t="shared" ref="H78:H80" si="89">IF(G78="","",(G78))</f>
        <v/>
      </c>
      <c r="I78" s="22" t="str">
        <f t="shared" ref="I78:I80" si="90">IF(H78="","",(H78+I77-J78))</f>
        <v/>
      </c>
      <c r="J78" s="6">
        <v>0</v>
      </c>
      <c r="K78" s="23"/>
      <c r="L78" s="45">
        <f t="shared" ref="L78:L80" si="91">C78</f>
        <v>0</v>
      </c>
      <c r="M78" s="23">
        <f t="shared" ref="M78:M80" si="92">G78</f>
        <v>0</v>
      </c>
      <c r="N78" s="12">
        <v>0</v>
      </c>
      <c r="O78" s="12">
        <v>0</v>
      </c>
      <c r="P78" s="12">
        <v>0</v>
      </c>
      <c r="Q78" s="16"/>
      <c r="R78" s="16"/>
    </row>
    <row r="79" spans="2:18" ht="40.200000000000003" customHeight="1" x14ac:dyDescent="0.4">
      <c r="B79" s="91"/>
      <c r="C79" s="3"/>
      <c r="D79" s="11"/>
      <c r="E79" s="66" t="s">
        <v>31</v>
      </c>
      <c r="F79" s="37">
        <f t="shared" si="75"/>
        <v>0</v>
      </c>
      <c r="G79" s="21"/>
      <c r="H79" s="21" t="str">
        <f t="shared" si="89"/>
        <v/>
      </c>
      <c r="I79" s="22" t="str">
        <f t="shared" si="90"/>
        <v/>
      </c>
      <c r="J79" s="6">
        <v>0</v>
      </c>
      <c r="K79" s="23"/>
      <c r="L79" s="45">
        <f t="shared" si="91"/>
        <v>0</v>
      </c>
      <c r="M79" s="23">
        <f t="shared" si="92"/>
        <v>0</v>
      </c>
      <c r="N79" s="12">
        <v>0</v>
      </c>
      <c r="O79" s="12">
        <v>0</v>
      </c>
      <c r="P79" s="12">
        <v>0</v>
      </c>
      <c r="Q79" s="16"/>
      <c r="R79" s="16"/>
    </row>
    <row r="80" spans="2:18" ht="40.200000000000003" customHeight="1" x14ac:dyDescent="0.4">
      <c r="B80" s="91"/>
      <c r="C80" s="3"/>
      <c r="D80" s="11"/>
      <c r="E80" s="66" t="s">
        <v>31</v>
      </c>
      <c r="F80" s="37">
        <f t="shared" si="75"/>
        <v>0</v>
      </c>
      <c r="G80" s="21"/>
      <c r="H80" s="21" t="str">
        <f t="shared" si="89"/>
        <v/>
      </c>
      <c r="I80" s="22" t="str">
        <f t="shared" si="90"/>
        <v/>
      </c>
      <c r="J80" s="6">
        <v>0</v>
      </c>
      <c r="K80" s="23"/>
      <c r="L80" s="45">
        <f t="shared" si="91"/>
        <v>0</v>
      </c>
      <c r="M80" s="23">
        <f t="shared" si="92"/>
        <v>0</v>
      </c>
      <c r="N80" s="12">
        <v>0</v>
      </c>
      <c r="O80" s="12">
        <v>0</v>
      </c>
      <c r="P80" s="12">
        <v>0</v>
      </c>
      <c r="Q80" s="16"/>
      <c r="R80" s="16"/>
    </row>
    <row r="81" spans="2:18" ht="40.200000000000003" customHeight="1" x14ac:dyDescent="0.4">
      <c r="B81" s="91"/>
      <c r="C81" s="3"/>
      <c r="D81" s="11"/>
      <c r="E81" s="66" t="s">
        <v>31</v>
      </c>
      <c r="F81" s="37">
        <f t="shared" si="75"/>
        <v>0</v>
      </c>
      <c r="G81" s="21"/>
      <c r="H81" s="21" t="str">
        <f t="shared" ref="H81" si="93">IF(G81="","",(G81))</f>
        <v/>
      </c>
      <c r="I81" s="22" t="str">
        <f t="shared" ref="I81" si="94">IF(H81="","",(H81+I80-J81))</f>
        <v/>
      </c>
      <c r="J81" s="6">
        <v>0</v>
      </c>
      <c r="K81" s="23"/>
      <c r="L81" s="45">
        <f t="shared" ref="L81" si="95">C81</f>
        <v>0</v>
      </c>
      <c r="M81" s="23">
        <f t="shared" ref="M81" si="96">G81</f>
        <v>0</v>
      </c>
      <c r="N81" s="12">
        <v>0</v>
      </c>
      <c r="O81" s="12">
        <v>0</v>
      </c>
      <c r="P81" s="12">
        <v>0</v>
      </c>
      <c r="Q81" s="16"/>
      <c r="R81" s="16"/>
    </row>
    <row r="82" spans="2:18" ht="40.200000000000003" customHeight="1" x14ac:dyDescent="0.4">
      <c r="B82" s="91"/>
      <c r="C82" s="3"/>
      <c r="D82" s="11"/>
      <c r="E82" s="69" t="s">
        <v>31</v>
      </c>
      <c r="F82" s="37">
        <f t="shared" ref="F82" si="97">G82</f>
        <v>0</v>
      </c>
      <c r="G82" s="21"/>
      <c r="H82" s="21" t="str">
        <f t="shared" ref="H82" si="98">IF(G82="","",(G82))</f>
        <v/>
      </c>
      <c r="I82" s="22" t="str">
        <f t="shared" ref="I82" si="99">IF(H82="","",(H82+I81-J82))</f>
        <v/>
      </c>
      <c r="J82" s="6">
        <v>0</v>
      </c>
      <c r="K82" s="23"/>
      <c r="L82" s="45">
        <f t="shared" ref="L82" si="100">C82</f>
        <v>0</v>
      </c>
      <c r="M82" s="23">
        <f t="shared" ref="M82" si="101">G82</f>
        <v>0</v>
      </c>
      <c r="N82" s="12">
        <v>0</v>
      </c>
      <c r="O82" s="12">
        <v>0</v>
      </c>
      <c r="P82" s="12">
        <v>0</v>
      </c>
      <c r="Q82" s="16"/>
      <c r="R82" s="16"/>
    </row>
    <row r="83" spans="2:18" ht="40.200000000000003" customHeight="1" x14ac:dyDescent="0.4">
      <c r="B83" s="91"/>
      <c r="C83" s="3"/>
      <c r="D83" s="11"/>
      <c r="E83" s="72" t="s">
        <v>31</v>
      </c>
      <c r="F83" s="37">
        <f t="shared" ref="F83:F84" si="102">G83</f>
        <v>0</v>
      </c>
      <c r="G83" s="21"/>
      <c r="H83" s="21" t="str">
        <f t="shared" ref="H83:H84" si="103">IF(G83="","",(G83))</f>
        <v/>
      </c>
      <c r="I83" s="22" t="str">
        <f t="shared" ref="I83:I84" si="104">IF(H83="","",(H83+I82-J83))</f>
        <v/>
      </c>
      <c r="J83" s="6">
        <v>0</v>
      </c>
      <c r="K83" s="23"/>
      <c r="L83" s="45">
        <f t="shared" ref="L83:L84" si="105">C83</f>
        <v>0</v>
      </c>
      <c r="M83" s="23">
        <f t="shared" ref="M83:M84" si="106">G83</f>
        <v>0</v>
      </c>
      <c r="N83" s="12">
        <v>0</v>
      </c>
      <c r="O83" s="12">
        <v>0</v>
      </c>
      <c r="P83" s="12">
        <v>0</v>
      </c>
      <c r="Q83" s="16"/>
      <c r="R83" s="16"/>
    </row>
    <row r="84" spans="2:18" ht="40.200000000000003" customHeight="1" x14ac:dyDescent="0.4">
      <c r="B84" s="91"/>
      <c r="C84" s="3"/>
      <c r="D84" s="11"/>
      <c r="E84" s="72" t="s">
        <v>31</v>
      </c>
      <c r="F84" s="37">
        <f t="shared" si="102"/>
        <v>0</v>
      </c>
      <c r="G84" s="21"/>
      <c r="H84" s="21" t="str">
        <f t="shared" si="103"/>
        <v/>
      </c>
      <c r="I84" s="22" t="str">
        <f t="shared" si="104"/>
        <v/>
      </c>
      <c r="J84" s="6">
        <v>0</v>
      </c>
      <c r="K84" s="23"/>
      <c r="L84" s="45">
        <f t="shared" si="105"/>
        <v>0</v>
      </c>
      <c r="M84" s="23">
        <f t="shared" si="106"/>
        <v>0</v>
      </c>
      <c r="N84" s="12">
        <v>0</v>
      </c>
      <c r="O84" s="12">
        <v>0</v>
      </c>
      <c r="P84" s="12">
        <v>0</v>
      </c>
      <c r="Q84" s="16"/>
      <c r="R84" s="16"/>
    </row>
    <row r="85" spans="2:18" ht="40.200000000000003" customHeight="1" x14ac:dyDescent="0.4">
      <c r="B85" s="91"/>
      <c r="C85" s="3"/>
      <c r="D85" s="11"/>
      <c r="E85" s="72" t="s">
        <v>31</v>
      </c>
      <c r="F85" s="37">
        <f t="shared" ref="F85:F88" si="107">G85</f>
        <v>0</v>
      </c>
      <c r="G85" s="21"/>
      <c r="H85" s="21" t="str">
        <f t="shared" ref="H85:H88" si="108">IF(G85="","",(G85))</f>
        <v/>
      </c>
      <c r="I85" s="22" t="str">
        <f t="shared" ref="I85:I88" si="109">IF(H85="","",(H85+I84-J85))</f>
        <v/>
      </c>
      <c r="J85" s="6">
        <v>0</v>
      </c>
      <c r="K85" s="23"/>
      <c r="L85" s="45">
        <f t="shared" ref="L85:L88" si="110">C85</f>
        <v>0</v>
      </c>
      <c r="M85" s="23">
        <f t="shared" ref="M85:M88" si="111">G85</f>
        <v>0</v>
      </c>
      <c r="N85" s="12">
        <v>0</v>
      </c>
      <c r="O85" s="12">
        <v>0</v>
      </c>
      <c r="P85" s="12">
        <v>0</v>
      </c>
      <c r="Q85" s="16"/>
      <c r="R85" s="16"/>
    </row>
    <row r="86" spans="2:18" ht="40.200000000000003" customHeight="1" x14ac:dyDescent="0.4">
      <c r="B86" s="91"/>
      <c r="C86" s="3"/>
      <c r="D86" s="11"/>
      <c r="E86" s="72" t="s">
        <v>31</v>
      </c>
      <c r="F86" s="37">
        <f t="shared" si="107"/>
        <v>0</v>
      </c>
      <c r="G86" s="21"/>
      <c r="H86" s="21" t="str">
        <f t="shared" si="108"/>
        <v/>
      </c>
      <c r="I86" s="22" t="str">
        <f t="shared" si="109"/>
        <v/>
      </c>
      <c r="J86" s="6">
        <v>0</v>
      </c>
      <c r="K86" s="23"/>
      <c r="L86" s="45">
        <f t="shared" si="110"/>
        <v>0</v>
      </c>
      <c r="M86" s="23">
        <f t="shared" si="111"/>
        <v>0</v>
      </c>
      <c r="N86" s="12">
        <v>0</v>
      </c>
      <c r="O86" s="12">
        <v>0</v>
      </c>
      <c r="P86" s="12">
        <v>0</v>
      </c>
      <c r="Q86" s="16"/>
      <c r="R86" s="16"/>
    </row>
    <row r="87" spans="2:18" ht="40.200000000000003" customHeight="1" x14ac:dyDescent="0.4">
      <c r="B87" s="91"/>
      <c r="C87" s="3"/>
      <c r="D87" s="11"/>
      <c r="E87" s="72" t="s">
        <v>31</v>
      </c>
      <c r="F87" s="37">
        <f t="shared" si="107"/>
        <v>0</v>
      </c>
      <c r="G87" s="21"/>
      <c r="H87" s="21" t="str">
        <f t="shared" si="108"/>
        <v/>
      </c>
      <c r="I87" s="22" t="str">
        <f t="shared" si="109"/>
        <v/>
      </c>
      <c r="J87" s="6">
        <v>0</v>
      </c>
      <c r="K87" s="23"/>
      <c r="L87" s="45">
        <f t="shared" si="110"/>
        <v>0</v>
      </c>
      <c r="M87" s="23">
        <f t="shared" si="111"/>
        <v>0</v>
      </c>
      <c r="N87" s="12">
        <v>0</v>
      </c>
      <c r="O87" s="12">
        <v>0</v>
      </c>
      <c r="P87" s="12">
        <v>0</v>
      </c>
      <c r="Q87" s="16"/>
      <c r="R87" s="16"/>
    </row>
    <row r="88" spans="2:18" ht="40.200000000000003" customHeight="1" x14ac:dyDescent="0.4">
      <c r="B88" s="91"/>
      <c r="C88" s="3"/>
      <c r="D88" s="11"/>
      <c r="E88" s="72" t="s">
        <v>31</v>
      </c>
      <c r="F88" s="37">
        <f t="shared" si="107"/>
        <v>0</v>
      </c>
      <c r="G88" s="21"/>
      <c r="H88" s="21" t="str">
        <f t="shared" si="108"/>
        <v/>
      </c>
      <c r="I88" s="22" t="str">
        <f t="shared" si="109"/>
        <v/>
      </c>
      <c r="J88" s="6">
        <v>0</v>
      </c>
      <c r="K88" s="23"/>
      <c r="L88" s="45">
        <f t="shared" si="110"/>
        <v>0</v>
      </c>
      <c r="M88" s="23">
        <f t="shared" si="111"/>
        <v>0</v>
      </c>
      <c r="N88" s="12">
        <v>0</v>
      </c>
      <c r="O88" s="12">
        <v>0</v>
      </c>
      <c r="P88" s="12">
        <v>0</v>
      </c>
      <c r="Q88" s="16"/>
      <c r="R88" s="16"/>
    </row>
    <row r="89" spans="2:18" ht="40.200000000000003" customHeight="1" x14ac:dyDescent="0.4">
      <c r="B89" s="91"/>
      <c r="C89" s="3"/>
      <c r="D89" s="11"/>
      <c r="E89" s="87" t="s">
        <v>31</v>
      </c>
      <c r="F89" s="37">
        <f t="shared" ref="F89:F90" si="112">G89</f>
        <v>0</v>
      </c>
      <c r="G89" s="21"/>
      <c r="H89" s="21" t="str">
        <f t="shared" ref="H89:H90" si="113">IF(G89="","",(G89))</f>
        <v/>
      </c>
      <c r="I89" s="22" t="str">
        <f t="shared" ref="I89:I90" si="114">IF(H89="","",(H89+I88-J89))</f>
        <v/>
      </c>
      <c r="J89" s="6">
        <v>0</v>
      </c>
      <c r="K89" s="23"/>
      <c r="L89" s="45">
        <f t="shared" ref="L89:L90" si="115">C89</f>
        <v>0</v>
      </c>
      <c r="M89" s="23">
        <f t="shared" ref="M89:M90" si="116">G89</f>
        <v>0</v>
      </c>
      <c r="N89" s="12">
        <v>0</v>
      </c>
      <c r="O89" s="12">
        <v>0</v>
      </c>
      <c r="P89" s="12">
        <v>0</v>
      </c>
      <c r="Q89" s="16"/>
      <c r="R89" s="16"/>
    </row>
    <row r="90" spans="2:18" ht="40.200000000000003" customHeight="1" x14ac:dyDescent="0.4">
      <c r="B90" s="91"/>
      <c r="C90" s="3"/>
      <c r="D90" s="11"/>
      <c r="E90" s="87" t="s">
        <v>31</v>
      </c>
      <c r="F90" s="37">
        <f t="shared" si="112"/>
        <v>0</v>
      </c>
      <c r="G90" s="21"/>
      <c r="H90" s="21" t="str">
        <f t="shared" si="113"/>
        <v/>
      </c>
      <c r="I90" s="22" t="str">
        <f t="shared" si="114"/>
        <v/>
      </c>
      <c r="J90" s="6">
        <v>0</v>
      </c>
      <c r="K90" s="23"/>
      <c r="L90" s="45">
        <f t="shared" si="115"/>
        <v>0</v>
      </c>
      <c r="M90" s="23">
        <f t="shared" si="116"/>
        <v>0</v>
      </c>
      <c r="N90" s="12">
        <v>0</v>
      </c>
      <c r="O90" s="12">
        <v>0</v>
      </c>
      <c r="P90" s="12">
        <v>0</v>
      </c>
      <c r="Q90" s="16"/>
      <c r="R90" s="16"/>
    </row>
    <row r="91" spans="2:18" ht="40.200000000000003" customHeight="1" x14ac:dyDescent="0.4">
      <c r="B91" s="91"/>
      <c r="C91" s="3"/>
      <c r="D91" s="11"/>
      <c r="E91" s="92" t="s">
        <v>31</v>
      </c>
      <c r="F91" s="37">
        <f t="shared" ref="F91:F92" si="117">G91</f>
        <v>0</v>
      </c>
      <c r="G91" s="21"/>
      <c r="H91" s="21" t="str">
        <f t="shared" ref="H91:H92" si="118">IF(G91="","",(G91))</f>
        <v/>
      </c>
      <c r="I91" s="22" t="str">
        <f t="shared" ref="I91:I96" si="119">IF(H91="","",(H91+I90-J91))</f>
        <v/>
      </c>
      <c r="J91" s="6">
        <v>0</v>
      </c>
      <c r="K91" s="23"/>
      <c r="L91" s="45">
        <f t="shared" ref="L91:L92" si="120">C91</f>
        <v>0</v>
      </c>
      <c r="M91" s="23">
        <f t="shared" ref="M91:M92" si="121">G91</f>
        <v>0</v>
      </c>
      <c r="N91" s="12">
        <v>0</v>
      </c>
      <c r="O91" s="12">
        <v>0</v>
      </c>
      <c r="P91" s="12">
        <v>0</v>
      </c>
      <c r="Q91" s="16"/>
      <c r="R91" s="16"/>
    </row>
    <row r="92" spans="2:18" ht="40.200000000000003" customHeight="1" x14ac:dyDescent="0.4">
      <c r="B92" s="91"/>
      <c r="C92" s="3"/>
      <c r="D92" s="11"/>
      <c r="E92" s="92" t="s">
        <v>31</v>
      </c>
      <c r="F92" s="37">
        <f t="shared" si="117"/>
        <v>0</v>
      </c>
      <c r="G92" s="21"/>
      <c r="H92" s="21" t="str">
        <f t="shared" si="118"/>
        <v/>
      </c>
      <c r="I92" s="22" t="str">
        <f t="shared" si="119"/>
        <v/>
      </c>
      <c r="J92" s="6">
        <v>0</v>
      </c>
      <c r="K92" s="23"/>
      <c r="L92" s="45">
        <f t="shared" si="120"/>
        <v>0</v>
      </c>
      <c r="M92" s="23">
        <f t="shared" si="121"/>
        <v>0</v>
      </c>
      <c r="N92" s="12">
        <v>0</v>
      </c>
      <c r="O92" s="12">
        <v>0</v>
      </c>
      <c r="P92" s="12">
        <v>0</v>
      </c>
      <c r="Q92" s="16"/>
      <c r="R92" s="16"/>
    </row>
    <row r="93" spans="2:18" ht="40.200000000000003" customHeight="1" x14ac:dyDescent="0.4">
      <c r="B93" s="94"/>
      <c r="C93" s="3"/>
      <c r="D93" s="11"/>
      <c r="E93" s="95" t="s">
        <v>31</v>
      </c>
      <c r="F93" s="37">
        <f t="shared" ref="F93:F94" si="122">G93</f>
        <v>0</v>
      </c>
      <c r="G93" s="21"/>
      <c r="H93" s="21" t="str">
        <f t="shared" ref="H93:H94" si="123">IF(G93="","",(G93))</f>
        <v/>
      </c>
      <c r="I93" s="22" t="str">
        <f t="shared" si="119"/>
        <v/>
      </c>
      <c r="J93" s="6">
        <v>0</v>
      </c>
      <c r="K93" s="23"/>
      <c r="L93" s="45">
        <f t="shared" ref="L93:L94" si="124">C93</f>
        <v>0</v>
      </c>
      <c r="M93" s="23">
        <f t="shared" ref="M93:M94" si="125">G93</f>
        <v>0</v>
      </c>
      <c r="N93" s="12">
        <v>0</v>
      </c>
      <c r="O93" s="12">
        <v>0</v>
      </c>
      <c r="P93" s="12">
        <v>0</v>
      </c>
      <c r="Q93" s="16"/>
      <c r="R93" s="16"/>
    </row>
    <row r="94" spans="2:18" ht="40.200000000000003" customHeight="1" x14ac:dyDescent="0.4">
      <c r="B94" s="94"/>
      <c r="C94" s="3"/>
      <c r="D94" s="11"/>
      <c r="E94" s="95" t="s">
        <v>31</v>
      </c>
      <c r="F94" s="37">
        <f t="shared" si="122"/>
        <v>0</v>
      </c>
      <c r="G94" s="21"/>
      <c r="H94" s="21" t="str">
        <f t="shared" si="123"/>
        <v/>
      </c>
      <c r="I94" s="22" t="str">
        <f t="shared" si="119"/>
        <v/>
      </c>
      <c r="J94" s="6">
        <v>0</v>
      </c>
      <c r="K94" s="23"/>
      <c r="L94" s="45">
        <f t="shared" si="124"/>
        <v>0</v>
      </c>
      <c r="M94" s="23">
        <f t="shared" si="125"/>
        <v>0</v>
      </c>
      <c r="N94" s="12">
        <v>0</v>
      </c>
      <c r="O94" s="12">
        <v>0</v>
      </c>
      <c r="P94" s="12">
        <v>0</v>
      </c>
      <c r="Q94" s="16"/>
      <c r="R94" s="16"/>
    </row>
    <row r="95" spans="2:18" ht="40.200000000000003" customHeight="1" x14ac:dyDescent="0.4">
      <c r="C95" s="3"/>
      <c r="D95" s="11"/>
      <c r="E95" s="122" t="s">
        <v>31</v>
      </c>
      <c r="F95" s="37">
        <f t="shared" ref="F95" si="126">G95</f>
        <v>0</v>
      </c>
      <c r="G95" s="21"/>
      <c r="H95" s="21" t="str">
        <f t="shared" ref="H95" si="127">IF(G95="","",(G95))</f>
        <v/>
      </c>
      <c r="I95" s="22" t="str">
        <f t="shared" si="119"/>
        <v/>
      </c>
      <c r="J95" s="6">
        <v>0</v>
      </c>
      <c r="K95" s="23"/>
      <c r="L95" s="45">
        <f t="shared" ref="L95" si="128">C95</f>
        <v>0</v>
      </c>
      <c r="M95" s="23">
        <f t="shared" ref="M95" si="129">G95</f>
        <v>0</v>
      </c>
      <c r="N95" s="12">
        <v>0</v>
      </c>
      <c r="O95" s="12">
        <v>0</v>
      </c>
      <c r="P95" s="12">
        <v>0</v>
      </c>
      <c r="Q95" s="16"/>
      <c r="R95" s="16"/>
    </row>
    <row r="96" spans="2:18" ht="40.200000000000003" customHeight="1" x14ac:dyDescent="0.4">
      <c r="C96" s="3"/>
      <c r="D96" s="11"/>
      <c r="E96" s="134" t="s">
        <v>31</v>
      </c>
      <c r="F96" s="37">
        <f t="shared" ref="F96" si="130">G96</f>
        <v>0</v>
      </c>
      <c r="G96" s="21"/>
      <c r="H96" s="21" t="str">
        <f t="shared" ref="H96" si="131">IF(G96="","",(G96))</f>
        <v/>
      </c>
      <c r="I96" s="22" t="str">
        <f t="shared" si="119"/>
        <v/>
      </c>
      <c r="J96" s="6">
        <v>0</v>
      </c>
      <c r="K96" s="23"/>
      <c r="L96" s="45">
        <f t="shared" ref="L96" si="132">C96</f>
        <v>0</v>
      </c>
      <c r="M96" s="23">
        <f t="shared" ref="M96" si="133">G96</f>
        <v>0</v>
      </c>
      <c r="N96" s="12">
        <v>0</v>
      </c>
      <c r="O96" s="12">
        <v>0</v>
      </c>
      <c r="P96" s="12">
        <v>0</v>
      </c>
      <c r="Q96" s="16"/>
      <c r="R96" s="16"/>
    </row>
    <row r="97" spans="3:18" ht="40.200000000000003" customHeight="1" x14ac:dyDescent="0.4">
      <c r="C97" s="3"/>
      <c r="D97" s="11"/>
      <c r="E97" s="136" t="s">
        <v>31</v>
      </c>
      <c r="F97" s="37">
        <f t="shared" ref="F97" si="134">G97</f>
        <v>0</v>
      </c>
      <c r="G97" s="21"/>
      <c r="H97" s="21" t="str">
        <f t="shared" ref="H97" si="135">IF(G97="","",(G97))</f>
        <v/>
      </c>
      <c r="I97" s="22" t="str">
        <f t="shared" ref="I97" si="136">IF(H97="","",(H97+I96-J97))</f>
        <v/>
      </c>
      <c r="J97" s="6">
        <v>0</v>
      </c>
      <c r="K97" s="23"/>
      <c r="L97" s="45">
        <f t="shared" ref="L97" si="137">C97</f>
        <v>0</v>
      </c>
      <c r="M97" s="23">
        <f t="shared" ref="M97" si="138">G97</f>
        <v>0</v>
      </c>
      <c r="N97" s="12">
        <v>0</v>
      </c>
      <c r="O97" s="12">
        <v>0</v>
      </c>
      <c r="P97" s="12">
        <v>0</v>
      </c>
      <c r="Q97" s="16"/>
      <c r="R97" s="16"/>
    </row>
    <row r="98" spans="3:18" ht="40.200000000000003" customHeight="1" x14ac:dyDescent="0.4"/>
    <row r="99" spans="3:18" ht="40.200000000000003" customHeight="1" x14ac:dyDescent="0.4"/>
    <row r="100" spans="3:18" ht="40.200000000000003" customHeight="1" x14ac:dyDescent="0.4"/>
    <row r="101" spans="3:18" ht="40.200000000000003" customHeight="1" x14ac:dyDescent="0.4"/>
    <row r="102" spans="3:18" ht="40.200000000000003" customHeight="1" x14ac:dyDescent="0.4"/>
    <row r="103" spans="3:18" ht="40.200000000000003" customHeight="1" x14ac:dyDescent="0.4"/>
    <row r="104" spans="3:18" ht="40.200000000000003" customHeight="1" x14ac:dyDescent="0.4"/>
    <row r="105" spans="3:18" ht="40.200000000000003" customHeight="1" x14ac:dyDescent="0.4"/>
    <row r="106" spans="3:18" ht="40.200000000000003" customHeight="1" x14ac:dyDescent="0.4"/>
    <row r="107" spans="3:18" ht="40.200000000000003" customHeight="1" x14ac:dyDescent="0.4"/>
    <row r="108" spans="3:18" ht="40.200000000000003" customHeight="1" x14ac:dyDescent="0.4"/>
    <row r="109" spans="3:18" ht="40.200000000000003" customHeight="1" x14ac:dyDescent="0.4"/>
    <row r="110" spans="3:18" ht="40.200000000000003" customHeight="1" x14ac:dyDescent="0.4"/>
    <row r="111" spans="3:18" ht="40.200000000000003" customHeight="1" x14ac:dyDescent="0.4"/>
    <row r="112" spans="3:18" ht="40.200000000000003" customHeight="1" x14ac:dyDescent="0.4"/>
    <row r="113" ht="40.200000000000003" customHeight="1" x14ac:dyDescent="0.4"/>
    <row r="114" ht="40.200000000000003" customHeight="1" x14ac:dyDescent="0.4"/>
    <row r="115" ht="40.200000000000003" customHeight="1" x14ac:dyDescent="0.4"/>
    <row r="116" ht="40.200000000000003" customHeight="1" x14ac:dyDescent="0.4"/>
    <row r="117" ht="40.200000000000003" customHeight="1" x14ac:dyDescent="0.4"/>
    <row r="118" ht="40.200000000000003" customHeight="1" x14ac:dyDescent="0.4"/>
    <row r="119" ht="40.200000000000003" customHeight="1" x14ac:dyDescent="0.4"/>
    <row r="120" ht="40.200000000000003" customHeight="1" x14ac:dyDescent="0.4"/>
    <row r="121" ht="40.200000000000003" customHeight="1" x14ac:dyDescent="0.4"/>
    <row r="122" ht="40.200000000000003" customHeight="1" x14ac:dyDescent="0.4"/>
    <row r="123" ht="40.200000000000003" customHeight="1" x14ac:dyDescent="0.4"/>
    <row r="124" ht="40.200000000000003" customHeight="1" x14ac:dyDescent="0.4"/>
    <row r="125" ht="40.200000000000003" customHeight="1" x14ac:dyDescent="0.4"/>
    <row r="126" ht="40.200000000000003" customHeight="1" x14ac:dyDescent="0.4"/>
    <row r="127" ht="40.200000000000003" customHeight="1" x14ac:dyDescent="0.4"/>
    <row r="128" ht="40.200000000000003" customHeight="1" x14ac:dyDescent="0.4"/>
    <row r="129" ht="40.200000000000003" customHeight="1" x14ac:dyDescent="0.4"/>
    <row r="130" ht="40.200000000000003" customHeight="1" x14ac:dyDescent="0.4"/>
    <row r="131" ht="40.200000000000003" customHeight="1" x14ac:dyDescent="0.4"/>
    <row r="132" ht="40.200000000000003" customHeight="1" x14ac:dyDescent="0.4"/>
    <row r="133" ht="40.200000000000003" customHeight="1" x14ac:dyDescent="0.4"/>
    <row r="134" ht="40.200000000000003" customHeight="1" x14ac:dyDescent="0.4"/>
    <row r="135" ht="40.200000000000003" customHeight="1" x14ac:dyDescent="0.4"/>
    <row r="136" ht="40.200000000000003" customHeight="1" x14ac:dyDescent="0.4"/>
    <row r="137" ht="40.200000000000003" customHeight="1" x14ac:dyDescent="0.4"/>
    <row r="138" ht="40.200000000000003" customHeight="1" x14ac:dyDescent="0.4"/>
    <row r="139" ht="40.200000000000003" customHeight="1" x14ac:dyDescent="0.4"/>
    <row r="140" ht="40.200000000000003" customHeight="1" x14ac:dyDescent="0.4"/>
    <row r="141" ht="40.200000000000003" customHeight="1" x14ac:dyDescent="0.4"/>
    <row r="142" ht="40.200000000000003" customHeight="1" x14ac:dyDescent="0.4"/>
    <row r="143" ht="40.200000000000003" customHeight="1" x14ac:dyDescent="0.4"/>
    <row r="144" ht="40.200000000000003" customHeight="1" x14ac:dyDescent="0.4"/>
    <row r="145" ht="40.200000000000003" customHeight="1" x14ac:dyDescent="0.4"/>
    <row r="146" ht="40.200000000000003" customHeight="1" x14ac:dyDescent="0.4"/>
    <row r="147" ht="40.200000000000003" customHeight="1" x14ac:dyDescent="0.4"/>
    <row r="148" ht="40.200000000000003" customHeight="1" x14ac:dyDescent="0.4"/>
    <row r="149" ht="40.200000000000003" customHeight="1" x14ac:dyDescent="0.4"/>
    <row r="150" ht="40.200000000000003" customHeight="1" x14ac:dyDescent="0.4"/>
  </sheetData>
  <mergeCells count="26">
    <mergeCell ref="B2:R2"/>
    <mergeCell ref="A5:A6"/>
    <mergeCell ref="B5:B6"/>
    <mergeCell ref="C5:C6"/>
    <mergeCell ref="D5:D6"/>
    <mergeCell ref="E5:E6"/>
    <mergeCell ref="F5:F6"/>
    <mergeCell ref="G5:G6"/>
    <mergeCell ref="H5:I5"/>
    <mergeCell ref="J5:K5"/>
    <mergeCell ref="L5:L6"/>
    <mergeCell ref="M5:M6"/>
    <mergeCell ref="N5:N6"/>
    <mergeCell ref="O5:O6"/>
    <mergeCell ref="P5:P6"/>
    <mergeCell ref="Q5:Q6"/>
    <mergeCell ref="R5:R6"/>
    <mergeCell ref="X5:X6"/>
    <mergeCell ref="Y5:Y6"/>
    <mergeCell ref="Z5:Z6"/>
    <mergeCell ref="AA5:AA6"/>
    <mergeCell ref="S5:S6"/>
    <mergeCell ref="T5:T6"/>
    <mergeCell ref="U5:U6"/>
    <mergeCell ref="V5:V6"/>
    <mergeCell ref="W5:W6"/>
  </mergeCells>
  <phoneticPr fontId="2" type="noConversion"/>
  <printOptions horizontalCentered="1"/>
  <pageMargins left="0.15748031496062992" right="0.15748031496062992" top="0.31496062992125984" bottom="0.31496062992125984" header="0.15748031496062992" footer="0.15748031496062992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AE701"/>
  <sheetViews>
    <sheetView tabSelected="1" view="pageBreakPreview" zoomScale="85" zoomScaleNormal="100" zoomScaleSheetLayoutView="85" workbookViewId="0">
      <selection activeCell="U11" sqref="U11"/>
    </sheetView>
  </sheetViews>
  <sheetFormatPr defaultColWidth="8.8984375" defaultRowHeight="14.4" x14ac:dyDescent="0.4"/>
  <cols>
    <col min="1" max="1" width="0.69921875" style="1" customWidth="1"/>
    <col min="2" max="2" width="5.19921875" style="24" customWidth="1"/>
    <col min="3" max="3" width="9.69921875" style="24" customWidth="1"/>
    <col min="4" max="4" width="12" style="42" customWidth="1"/>
    <col min="5" max="5" width="5.69921875" style="24" customWidth="1"/>
    <col min="6" max="6" width="8.69921875" style="24" customWidth="1"/>
    <col min="7" max="7" width="9.69921875" style="76" customWidth="1"/>
    <col min="8" max="8" width="8.69921875" style="76" customWidth="1"/>
    <col min="9" max="9" width="8.69921875" style="25" customWidth="1"/>
    <col min="10" max="11" width="7.09765625" style="24" customWidth="1"/>
    <col min="12" max="13" width="9.69921875" style="24" customWidth="1"/>
    <col min="14" max="14" width="5.69921875" style="24" customWidth="1"/>
    <col min="15" max="15" width="5.8984375" style="24" customWidth="1"/>
    <col min="16" max="16" width="5.69921875" style="24" customWidth="1"/>
    <col min="17" max="17" width="10.69921875" style="43" customWidth="1"/>
    <col min="18" max="18" width="11.19921875" style="43" customWidth="1"/>
    <col min="19" max="19" width="9.69921875" style="1" customWidth="1"/>
    <col min="20" max="20" width="12.3984375" style="1" bestFit="1" customWidth="1"/>
    <col min="21" max="21" width="9.8984375" style="14" bestFit="1" customWidth="1"/>
    <col min="22" max="22" width="11.59765625" style="14" bestFit="1" customWidth="1"/>
    <col min="23" max="259" width="8.8984375" style="1"/>
    <col min="260" max="261" width="5.19921875" style="1" customWidth="1"/>
    <col min="262" max="262" width="10.8984375" style="1" customWidth="1"/>
    <col min="263" max="263" width="16.19921875" style="1" customWidth="1"/>
    <col min="264" max="264" width="5.69921875" style="1" customWidth="1"/>
    <col min="265" max="269" width="9.69921875" style="1" customWidth="1"/>
    <col min="270" max="270" width="15.69921875" style="1" customWidth="1"/>
    <col min="271" max="272" width="9.69921875" style="1" customWidth="1"/>
    <col min="273" max="274" width="12.69921875" style="1" customWidth="1"/>
    <col min="275" max="275" width="9.69921875" style="1" customWidth="1"/>
    <col min="276" max="515" width="8.8984375" style="1"/>
    <col min="516" max="517" width="5.19921875" style="1" customWidth="1"/>
    <col min="518" max="518" width="10.8984375" style="1" customWidth="1"/>
    <col min="519" max="519" width="16.19921875" style="1" customWidth="1"/>
    <col min="520" max="520" width="5.69921875" style="1" customWidth="1"/>
    <col min="521" max="525" width="9.69921875" style="1" customWidth="1"/>
    <col min="526" max="526" width="15.69921875" style="1" customWidth="1"/>
    <col min="527" max="528" width="9.69921875" style="1" customWidth="1"/>
    <col min="529" max="530" width="12.69921875" style="1" customWidth="1"/>
    <col min="531" max="531" width="9.69921875" style="1" customWidth="1"/>
    <col min="532" max="771" width="8.8984375" style="1"/>
    <col min="772" max="773" width="5.19921875" style="1" customWidth="1"/>
    <col min="774" max="774" width="10.8984375" style="1" customWidth="1"/>
    <col min="775" max="775" width="16.19921875" style="1" customWidth="1"/>
    <col min="776" max="776" width="5.69921875" style="1" customWidth="1"/>
    <col min="777" max="781" width="9.69921875" style="1" customWidth="1"/>
    <col min="782" max="782" width="15.69921875" style="1" customWidth="1"/>
    <col min="783" max="784" width="9.69921875" style="1" customWidth="1"/>
    <col min="785" max="786" width="12.69921875" style="1" customWidth="1"/>
    <col min="787" max="787" width="9.69921875" style="1" customWidth="1"/>
    <col min="788" max="1027" width="8.8984375" style="1"/>
    <col min="1028" max="1029" width="5.19921875" style="1" customWidth="1"/>
    <col min="1030" max="1030" width="10.8984375" style="1" customWidth="1"/>
    <col min="1031" max="1031" width="16.19921875" style="1" customWidth="1"/>
    <col min="1032" max="1032" width="5.69921875" style="1" customWidth="1"/>
    <col min="1033" max="1037" width="9.69921875" style="1" customWidth="1"/>
    <col min="1038" max="1038" width="15.69921875" style="1" customWidth="1"/>
    <col min="1039" max="1040" width="9.69921875" style="1" customWidth="1"/>
    <col min="1041" max="1042" width="12.69921875" style="1" customWidth="1"/>
    <col min="1043" max="1043" width="9.69921875" style="1" customWidth="1"/>
    <col min="1044" max="1283" width="8.8984375" style="1"/>
    <col min="1284" max="1285" width="5.19921875" style="1" customWidth="1"/>
    <col min="1286" max="1286" width="10.8984375" style="1" customWidth="1"/>
    <col min="1287" max="1287" width="16.19921875" style="1" customWidth="1"/>
    <col min="1288" max="1288" width="5.69921875" style="1" customWidth="1"/>
    <col min="1289" max="1293" width="9.69921875" style="1" customWidth="1"/>
    <col min="1294" max="1294" width="15.69921875" style="1" customWidth="1"/>
    <col min="1295" max="1296" width="9.69921875" style="1" customWidth="1"/>
    <col min="1297" max="1298" width="12.69921875" style="1" customWidth="1"/>
    <col min="1299" max="1299" width="9.69921875" style="1" customWidth="1"/>
    <col min="1300" max="1539" width="8.8984375" style="1"/>
    <col min="1540" max="1541" width="5.19921875" style="1" customWidth="1"/>
    <col min="1542" max="1542" width="10.8984375" style="1" customWidth="1"/>
    <col min="1543" max="1543" width="16.19921875" style="1" customWidth="1"/>
    <col min="1544" max="1544" width="5.69921875" style="1" customWidth="1"/>
    <col min="1545" max="1549" width="9.69921875" style="1" customWidth="1"/>
    <col min="1550" max="1550" width="15.69921875" style="1" customWidth="1"/>
    <col min="1551" max="1552" width="9.69921875" style="1" customWidth="1"/>
    <col min="1553" max="1554" width="12.69921875" style="1" customWidth="1"/>
    <col min="1555" max="1555" width="9.69921875" style="1" customWidth="1"/>
    <col min="1556" max="1795" width="8.8984375" style="1"/>
    <col min="1796" max="1797" width="5.19921875" style="1" customWidth="1"/>
    <col min="1798" max="1798" width="10.8984375" style="1" customWidth="1"/>
    <col min="1799" max="1799" width="16.19921875" style="1" customWidth="1"/>
    <col min="1800" max="1800" width="5.69921875" style="1" customWidth="1"/>
    <col min="1801" max="1805" width="9.69921875" style="1" customWidth="1"/>
    <col min="1806" max="1806" width="15.69921875" style="1" customWidth="1"/>
    <col min="1807" max="1808" width="9.69921875" style="1" customWidth="1"/>
    <col min="1809" max="1810" width="12.69921875" style="1" customWidth="1"/>
    <col min="1811" max="1811" width="9.69921875" style="1" customWidth="1"/>
    <col min="1812" max="2051" width="8.8984375" style="1"/>
    <col min="2052" max="2053" width="5.19921875" style="1" customWidth="1"/>
    <col min="2054" max="2054" width="10.8984375" style="1" customWidth="1"/>
    <col min="2055" max="2055" width="16.19921875" style="1" customWidth="1"/>
    <col min="2056" max="2056" width="5.69921875" style="1" customWidth="1"/>
    <col min="2057" max="2061" width="9.69921875" style="1" customWidth="1"/>
    <col min="2062" max="2062" width="15.69921875" style="1" customWidth="1"/>
    <col min="2063" max="2064" width="9.69921875" style="1" customWidth="1"/>
    <col min="2065" max="2066" width="12.69921875" style="1" customWidth="1"/>
    <col min="2067" max="2067" width="9.69921875" style="1" customWidth="1"/>
    <col min="2068" max="2307" width="8.8984375" style="1"/>
    <col min="2308" max="2309" width="5.19921875" style="1" customWidth="1"/>
    <col min="2310" max="2310" width="10.8984375" style="1" customWidth="1"/>
    <col min="2311" max="2311" width="16.19921875" style="1" customWidth="1"/>
    <col min="2312" max="2312" width="5.69921875" style="1" customWidth="1"/>
    <col min="2313" max="2317" width="9.69921875" style="1" customWidth="1"/>
    <col min="2318" max="2318" width="15.69921875" style="1" customWidth="1"/>
    <col min="2319" max="2320" width="9.69921875" style="1" customWidth="1"/>
    <col min="2321" max="2322" width="12.69921875" style="1" customWidth="1"/>
    <col min="2323" max="2323" width="9.69921875" style="1" customWidth="1"/>
    <col min="2324" max="2563" width="8.8984375" style="1"/>
    <col min="2564" max="2565" width="5.19921875" style="1" customWidth="1"/>
    <col min="2566" max="2566" width="10.8984375" style="1" customWidth="1"/>
    <col min="2567" max="2567" width="16.19921875" style="1" customWidth="1"/>
    <col min="2568" max="2568" width="5.69921875" style="1" customWidth="1"/>
    <col min="2569" max="2573" width="9.69921875" style="1" customWidth="1"/>
    <col min="2574" max="2574" width="15.69921875" style="1" customWidth="1"/>
    <col min="2575" max="2576" width="9.69921875" style="1" customWidth="1"/>
    <col min="2577" max="2578" width="12.69921875" style="1" customWidth="1"/>
    <col min="2579" max="2579" width="9.69921875" style="1" customWidth="1"/>
    <col min="2580" max="2819" width="8.8984375" style="1"/>
    <col min="2820" max="2821" width="5.19921875" style="1" customWidth="1"/>
    <col min="2822" max="2822" width="10.8984375" style="1" customWidth="1"/>
    <col min="2823" max="2823" width="16.19921875" style="1" customWidth="1"/>
    <col min="2824" max="2824" width="5.69921875" style="1" customWidth="1"/>
    <col min="2825" max="2829" width="9.69921875" style="1" customWidth="1"/>
    <col min="2830" max="2830" width="15.69921875" style="1" customWidth="1"/>
    <col min="2831" max="2832" width="9.69921875" style="1" customWidth="1"/>
    <col min="2833" max="2834" width="12.69921875" style="1" customWidth="1"/>
    <col min="2835" max="2835" width="9.69921875" style="1" customWidth="1"/>
    <col min="2836" max="3075" width="8.8984375" style="1"/>
    <col min="3076" max="3077" width="5.19921875" style="1" customWidth="1"/>
    <col min="3078" max="3078" width="10.8984375" style="1" customWidth="1"/>
    <col min="3079" max="3079" width="16.19921875" style="1" customWidth="1"/>
    <col min="3080" max="3080" width="5.69921875" style="1" customWidth="1"/>
    <col min="3081" max="3085" width="9.69921875" style="1" customWidth="1"/>
    <col min="3086" max="3086" width="15.69921875" style="1" customWidth="1"/>
    <col min="3087" max="3088" width="9.69921875" style="1" customWidth="1"/>
    <col min="3089" max="3090" width="12.69921875" style="1" customWidth="1"/>
    <col min="3091" max="3091" width="9.69921875" style="1" customWidth="1"/>
    <col min="3092" max="3331" width="8.8984375" style="1"/>
    <col min="3332" max="3333" width="5.19921875" style="1" customWidth="1"/>
    <col min="3334" max="3334" width="10.8984375" style="1" customWidth="1"/>
    <col min="3335" max="3335" width="16.19921875" style="1" customWidth="1"/>
    <col min="3336" max="3336" width="5.69921875" style="1" customWidth="1"/>
    <col min="3337" max="3341" width="9.69921875" style="1" customWidth="1"/>
    <col min="3342" max="3342" width="15.69921875" style="1" customWidth="1"/>
    <col min="3343" max="3344" width="9.69921875" style="1" customWidth="1"/>
    <col min="3345" max="3346" width="12.69921875" style="1" customWidth="1"/>
    <col min="3347" max="3347" width="9.69921875" style="1" customWidth="1"/>
    <col min="3348" max="3587" width="8.8984375" style="1"/>
    <col min="3588" max="3589" width="5.19921875" style="1" customWidth="1"/>
    <col min="3590" max="3590" width="10.8984375" style="1" customWidth="1"/>
    <col min="3591" max="3591" width="16.19921875" style="1" customWidth="1"/>
    <col min="3592" max="3592" width="5.69921875" style="1" customWidth="1"/>
    <col min="3593" max="3597" width="9.69921875" style="1" customWidth="1"/>
    <col min="3598" max="3598" width="15.69921875" style="1" customWidth="1"/>
    <col min="3599" max="3600" width="9.69921875" style="1" customWidth="1"/>
    <col min="3601" max="3602" width="12.69921875" style="1" customWidth="1"/>
    <col min="3603" max="3603" width="9.69921875" style="1" customWidth="1"/>
    <col min="3604" max="3843" width="8.8984375" style="1"/>
    <col min="3844" max="3845" width="5.19921875" style="1" customWidth="1"/>
    <col min="3846" max="3846" width="10.8984375" style="1" customWidth="1"/>
    <col min="3847" max="3847" width="16.19921875" style="1" customWidth="1"/>
    <col min="3848" max="3848" width="5.69921875" style="1" customWidth="1"/>
    <col min="3849" max="3853" width="9.69921875" style="1" customWidth="1"/>
    <col min="3854" max="3854" width="15.69921875" style="1" customWidth="1"/>
    <col min="3855" max="3856" width="9.69921875" style="1" customWidth="1"/>
    <col min="3857" max="3858" width="12.69921875" style="1" customWidth="1"/>
    <col min="3859" max="3859" width="9.69921875" style="1" customWidth="1"/>
    <col min="3860" max="4099" width="8.8984375" style="1"/>
    <col min="4100" max="4101" width="5.19921875" style="1" customWidth="1"/>
    <col min="4102" max="4102" width="10.8984375" style="1" customWidth="1"/>
    <col min="4103" max="4103" width="16.19921875" style="1" customWidth="1"/>
    <col min="4104" max="4104" width="5.69921875" style="1" customWidth="1"/>
    <col min="4105" max="4109" width="9.69921875" style="1" customWidth="1"/>
    <col min="4110" max="4110" width="15.69921875" style="1" customWidth="1"/>
    <col min="4111" max="4112" width="9.69921875" style="1" customWidth="1"/>
    <col min="4113" max="4114" width="12.69921875" style="1" customWidth="1"/>
    <col min="4115" max="4115" width="9.69921875" style="1" customWidth="1"/>
    <col min="4116" max="4355" width="8.8984375" style="1"/>
    <col min="4356" max="4357" width="5.19921875" style="1" customWidth="1"/>
    <col min="4358" max="4358" width="10.8984375" style="1" customWidth="1"/>
    <col min="4359" max="4359" width="16.19921875" style="1" customWidth="1"/>
    <col min="4360" max="4360" width="5.69921875" style="1" customWidth="1"/>
    <col min="4361" max="4365" width="9.69921875" style="1" customWidth="1"/>
    <col min="4366" max="4366" width="15.69921875" style="1" customWidth="1"/>
    <col min="4367" max="4368" width="9.69921875" style="1" customWidth="1"/>
    <col min="4369" max="4370" width="12.69921875" style="1" customWidth="1"/>
    <col min="4371" max="4371" width="9.69921875" style="1" customWidth="1"/>
    <col min="4372" max="4611" width="8.8984375" style="1"/>
    <col min="4612" max="4613" width="5.19921875" style="1" customWidth="1"/>
    <col min="4614" max="4614" width="10.8984375" style="1" customWidth="1"/>
    <col min="4615" max="4615" width="16.19921875" style="1" customWidth="1"/>
    <col min="4616" max="4616" width="5.69921875" style="1" customWidth="1"/>
    <col min="4617" max="4621" width="9.69921875" style="1" customWidth="1"/>
    <col min="4622" max="4622" width="15.69921875" style="1" customWidth="1"/>
    <col min="4623" max="4624" width="9.69921875" style="1" customWidth="1"/>
    <col min="4625" max="4626" width="12.69921875" style="1" customWidth="1"/>
    <col min="4627" max="4627" width="9.69921875" style="1" customWidth="1"/>
    <col min="4628" max="4867" width="8.8984375" style="1"/>
    <col min="4868" max="4869" width="5.19921875" style="1" customWidth="1"/>
    <col min="4870" max="4870" width="10.8984375" style="1" customWidth="1"/>
    <col min="4871" max="4871" width="16.19921875" style="1" customWidth="1"/>
    <col min="4872" max="4872" width="5.69921875" style="1" customWidth="1"/>
    <col min="4873" max="4877" width="9.69921875" style="1" customWidth="1"/>
    <col min="4878" max="4878" width="15.69921875" style="1" customWidth="1"/>
    <col min="4879" max="4880" width="9.69921875" style="1" customWidth="1"/>
    <col min="4881" max="4882" width="12.69921875" style="1" customWidth="1"/>
    <col min="4883" max="4883" width="9.69921875" style="1" customWidth="1"/>
    <col min="4884" max="5123" width="8.8984375" style="1"/>
    <col min="5124" max="5125" width="5.19921875" style="1" customWidth="1"/>
    <col min="5126" max="5126" width="10.8984375" style="1" customWidth="1"/>
    <col min="5127" max="5127" width="16.19921875" style="1" customWidth="1"/>
    <col min="5128" max="5128" width="5.69921875" style="1" customWidth="1"/>
    <col min="5129" max="5133" width="9.69921875" style="1" customWidth="1"/>
    <col min="5134" max="5134" width="15.69921875" style="1" customWidth="1"/>
    <col min="5135" max="5136" width="9.69921875" style="1" customWidth="1"/>
    <col min="5137" max="5138" width="12.69921875" style="1" customWidth="1"/>
    <col min="5139" max="5139" width="9.69921875" style="1" customWidth="1"/>
    <col min="5140" max="5379" width="8.8984375" style="1"/>
    <col min="5380" max="5381" width="5.19921875" style="1" customWidth="1"/>
    <col min="5382" max="5382" width="10.8984375" style="1" customWidth="1"/>
    <col min="5383" max="5383" width="16.19921875" style="1" customWidth="1"/>
    <col min="5384" max="5384" width="5.69921875" style="1" customWidth="1"/>
    <col min="5385" max="5389" width="9.69921875" style="1" customWidth="1"/>
    <col min="5390" max="5390" width="15.69921875" style="1" customWidth="1"/>
    <col min="5391" max="5392" width="9.69921875" style="1" customWidth="1"/>
    <col min="5393" max="5394" width="12.69921875" style="1" customWidth="1"/>
    <col min="5395" max="5395" width="9.69921875" style="1" customWidth="1"/>
    <col min="5396" max="5635" width="8.8984375" style="1"/>
    <col min="5636" max="5637" width="5.19921875" style="1" customWidth="1"/>
    <col min="5638" max="5638" width="10.8984375" style="1" customWidth="1"/>
    <col min="5639" max="5639" width="16.19921875" style="1" customWidth="1"/>
    <col min="5640" max="5640" width="5.69921875" style="1" customWidth="1"/>
    <col min="5641" max="5645" width="9.69921875" style="1" customWidth="1"/>
    <col min="5646" max="5646" width="15.69921875" style="1" customWidth="1"/>
    <col min="5647" max="5648" width="9.69921875" style="1" customWidth="1"/>
    <col min="5649" max="5650" width="12.69921875" style="1" customWidth="1"/>
    <col min="5651" max="5651" width="9.69921875" style="1" customWidth="1"/>
    <col min="5652" max="5891" width="8.8984375" style="1"/>
    <col min="5892" max="5893" width="5.19921875" style="1" customWidth="1"/>
    <col min="5894" max="5894" width="10.8984375" style="1" customWidth="1"/>
    <col min="5895" max="5895" width="16.19921875" style="1" customWidth="1"/>
    <col min="5896" max="5896" width="5.69921875" style="1" customWidth="1"/>
    <col min="5897" max="5901" width="9.69921875" style="1" customWidth="1"/>
    <col min="5902" max="5902" width="15.69921875" style="1" customWidth="1"/>
    <col min="5903" max="5904" width="9.69921875" style="1" customWidth="1"/>
    <col min="5905" max="5906" width="12.69921875" style="1" customWidth="1"/>
    <col min="5907" max="5907" width="9.69921875" style="1" customWidth="1"/>
    <col min="5908" max="6147" width="8.8984375" style="1"/>
    <col min="6148" max="6149" width="5.19921875" style="1" customWidth="1"/>
    <col min="6150" max="6150" width="10.8984375" style="1" customWidth="1"/>
    <col min="6151" max="6151" width="16.19921875" style="1" customWidth="1"/>
    <col min="6152" max="6152" width="5.69921875" style="1" customWidth="1"/>
    <col min="6153" max="6157" width="9.69921875" style="1" customWidth="1"/>
    <col min="6158" max="6158" width="15.69921875" style="1" customWidth="1"/>
    <col min="6159" max="6160" width="9.69921875" style="1" customWidth="1"/>
    <col min="6161" max="6162" width="12.69921875" style="1" customWidth="1"/>
    <col min="6163" max="6163" width="9.69921875" style="1" customWidth="1"/>
    <col min="6164" max="6403" width="8.8984375" style="1"/>
    <col min="6404" max="6405" width="5.19921875" style="1" customWidth="1"/>
    <col min="6406" max="6406" width="10.8984375" style="1" customWidth="1"/>
    <col min="6407" max="6407" width="16.19921875" style="1" customWidth="1"/>
    <col min="6408" max="6408" width="5.69921875" style="1" customWidth="1"/>
    <col min="6409" max="6413" width="9.69921875" style="1" customWidth="1"/>
    <col min="6414" max="6414" width="15.69921875" style="1" customWidth="1"/>
    <col min="6415" max="6416" width="9.69921875" style="1" customWidth="1"/>
    <col min="6417" max="6418" width="12.69921875" style="1" customWidth="1"/>
    <col min="6419" max="6419" width="9.69921875" style="1" customWidth="1"/>
    <col min="6420" max="6659" width="8.8984375" style="1"/>
    <col min="6660" max="6661" width="5.19921875" style="1" customWidth="1"/>
    <col min="6662" max="6662" width="10.8984375" style="1" customWidth="1"/>
    <col min="6663" max="6663" width="16.19921875" style="1" customWidth="1"/>
    <col min="6664" max="6664" width="5.69921875" style="1" customWidth="1"/>
    <col min="6665" max="6669" width="9.69921875" style="1" customWidth="1"/>
    <col min="6670" max="6670" width="15.69921875" style="1" customWidth="1"/>
    <col min="6671" max="6672" width="9.69921875" style="1" customWidth="1"/>
    <col min="6673" max="6674" width="12.69921875" style="1" customWidth="1"/>
    <col min="6675" max="6675" width="9.69921875" style="1" customWidth="1"/>
    <col min="6676" max="6915" width="8.8984375" style="1"/>
    <col min="6916" max="6917" width="5.19921875" style="1" customWidth="1"/>
    <col min="6918" max="6918" width="10.8984375" style="1" customWidth="1"/>
    <col min="6919" max="6919" width="16.19921875" style="1" customWidth="1"/>
    <col min="6920" max="6920" width="5.69921875" style="1" customWidth="1"/>
    <col min="6921" max="6925" width="9.69921875" style="1" customWidth="1"/>
    <col min="6926" max="6926" width="15.69921875" style="1" customWidth="1"/>
    <col min="6927" max="6928" width="9.69921875" style="1" customWidth="1"/>
    <col min="6929" max="6930" width="12.69921875" style="1" customWidth="1"/>
    <col min="6931" max="6931" width="9.69921875" style="1" customWidth="1"/>
    <col min="6932" max="7171" width="8.8984375" style="1"/>
    <col min="7172" max="7173" width="5.19921875" style="1" customWidth="1"/>
    <col min="7174" max="7174" width="10.8984375" style="1" customWidth="1"/>
    <col min="7175" max="7175" width="16.19921875" style="1" customWidth="1"/>
    <col min="7176" max="7176" width="5.69921875" style="1" customWidth="1"/>
    <col min="7177" max="7181" width="9.69921875" style="1" customWidth="1"/>
    <col min="7182" max="7182" width="15.69921875" style="1" customWidth="1"/>
    <col min="7183" max="7184" width="9.69921875" style="1" customWidth="1"/>
    <col min="7185" max="7186" width="12.69921875" style="1" customWidth="1"/>
    <col min="7187" max="7187" width="9.69921875" style="1" customWidth="1"/>
    <col min="7188" max="7427" width="8.8984375" style="1"/>
    <col min="7428" max="7429" width="5.19921875" style="1" customWidth="1"/>
    <col min="7430" max="7430" width="10.8984375" style="1" customWidth="1"/>
    <col min="7431" max="7431" width="16.19921875" style="1" customWidth="1"/>
    <col min="7432" max="7432" width="5.69921875" style="1" customWidth="1"/>
    <col min="7433" max="7437" width="9.69921875" style="1" customWidth="1"/>
    <col min="7438" max="7438" width="15.69921875" style="1" customWidth="1"/>
    <col min="7439" max="7440" width="9.69921875" style="1" customWidth="1"/>
    <col min="7441" max="7442" width="12.69921875" style="1" customWidth="1"/>
    <col min="7443" max="7443" width="9.69921875" style="1" customWidth="1"/>
    <col min="7444" max="7683" width="8.8984375" style="1"/>
    <col min="7684" max="7685" width="5.19921875" style="1" customWidth="1"/>
    <col min="7686" max="7686" width="10.8984375" style="1" customWidth="1"/>
    <col min="7687" max="7687" width="16.19921875" style="1" customWidth="1"/>
    <col min="7688" max="7688" width="5.69921875" style="1" customWidth="1"/>
    <col min="7689" max="7693" width="9.69921875" style="1" customWidth="1"/>
    <col min="7694" max="7694" width="15.69921875" style="1" customWidth="1"/>
    <col min="7695" max="7696" width="9.69921875" style="1" customWidth="1"/>
    <col min="7697" max="7698" width="12.69921875" style="1" customWidth="1"/>
    <col min="7699" max="7699" width="9.69921875" style="1" customWidth="1"/>
    <col min="7700" max="7939" width="8.8984375" style="1"/>
    <col min="7940" max="7941" width="5.19921875" style="1" customWidth="1"/>
    <col min="7942" max="7942" width="10.8984375" style="1" customWidth="1"/>
    <col min="7943" max="7943" width="16.19921875" style="1" customWidth="1"/>
    <col min="7944" max="7944" width="5.69921875" style="1" customWidth="1"/>
    <col min="7945" max="7949" width="9.69921875" style="1" customWidth="1"/>
    <col min="7950" max="7950" width="15.69921875" style="1" customWidth="1"/>
    <col min="7951" max="7952" width="9.69921875" style="1" customWidth="1"/>
    <col min="7953" max="7954" width="12.69921875" style="1" customWidth="1"/>
    <col min="7955" max="7955" width="9.69921875" style="1" customWidth="1"/>
    <col min="7956" max="8195" width="8.8984375" style="1"/>
    <col min="8196" max="8197" width="5.19921875" style="1" customWidth="1"/>
    <col min="8198" max="8198" width="10.8984375" style="1" customWidth="1"/>
    <col min="8199" max="8199" width="16.19921875" style="1" customWidth="1"/>
    <col min="8200" max="8200" width="5.69921875" style="1" customWidth="1"/>
    <col min="8201" max="8205" width="9.69921875" style="1" customWidth="1"/>
    <col min="8206" max="8206" width="15.69921875" style="1" customWidth="1"/>
    <col min="8207" max="8208" width="9.69921875" style="1" customWidth="1"/>
    <col min="8209" max="8210" width="12.69921875" style="1" customWidth="1"/>
    <col min="8211" max="8211" width="9.69921875" style="1" customWidth="1"/>
    <col min="8212" max="8451" width="8.8984375" style="1"/>
    <col min="8452" max="8453" width="5.19921875" style="1" customWidth="1"/>
    <col min="8454" max="8454" width="10.8984375" style="1" customWidth="1"/>
    <col min="8455" max="8455" width="16.19921875" style="1" customWidth="1"/>
    <col min="8456" max="8456" width="5.69921875" style="1" customWidth="1"/>
    <col min="8457" max="8461" width="9.69921875" style="1" customWidth="1"/>
    <col min="8462" max="8462" width="15.69921875" style="1" customWidth="1"/>
    <col min="8463" max="8464" width="9.69921875" style="1" customWidth="1"/>
    <col min="8465" max="8466" width="12.69921875" style="1" customWidth="1"/>
    <col min="8467" max="8467" width="9.69921875" style="1" customWidth="1"/>
    <col min="8468" max="8707" width="8.8984375" style="1"/>
    <col min="8708" max="8709" width="5.19921875" style="1" customWidth="1"/>
    <col min="8710" max="8710" width="10.8984375" style="1" customWidth="1"/>
    <col min="8711" max="8711" width="16.19921875" style="1" customWidth="1"/>
    <col min="8712" max="8712" width="5.69921875" style="1" customWidth="1"/>
    <col min="8713" max="8717" width="9.69921875" style="1" customWidth="1"/>
    <col min="8718" max="8718" width="15.69921875" style="1" customWidth="1"/>
    <col min="8719" max="8720" width="9.69921875" style="1" customWidth="1"/>
    <col min="8721" max="8722" width="12.69921875" style="1" customWidth="1"/>
    <col min="8723" max="8723" width="9.69921875" style="1" customWidth="1"/>
    <col min="8724" max="8963" width="8.8984375" style="1"/>
    <col min="8964" max="8965" width="5.19921875" style="1" customWidth="1"/>
    <col min="8966" max="8966" width="10.8984375" style="1" customWidth="1"/>
    <col min="8967" max="8967" width="16.19921875" style="1" customWidth="1"/>
    <col min="8968" max="8968" width="5.69921875" style="1" customWidth="1"/>
    <col min="8969" max="8973" width="9.69921875" style="1" customWidth="1"/>
    <col min="8974" max="8974" width="15.69921875" style="1" customWidth="1"/>
    <col min="8975" max="8976" width="9.69921875" style="1" customWidth="1"/>
    <col min="8977" max="8978" width="12.69921875" style="1" customWidth="1"/>
    <col min="8979" max="8979" width="9.69921875" style="1" customWidth="1"/>
    <col min="8980" max="9219" width="8.8984375" style="1"/>
    <col min="9220" max="9221" width="5.19921875" style="1" customWidth="1"/>
    <col min="9222" max="9222" width="10.8984375" style="1" customWidth="1"/>
    <col min="9223" max="9223" width="16.19921875" style="1" customWidth="1"/>
    <col min="9224" max="9224" width="5.69921875" style="1" customWidth="1"/>
    <col min="9225" max="9229" width="9.69921875" style="1" customWidth="1"/>
    <col min="9230" max="9230" width="15.69921875" style="1" customWidth="1"/>
    <col min="9231" max="9232" width="9.69921875" style="1" customWidth="1"/>
    <col min="9233" max="9234" width="12.69921875" style="1" customWidth="1"/>
    <col min="9235" max="9235" width="9.69921875" style="1" customWidth="1"/>
    <col min="9236" max="9475" width="8.8984375" style="1"/>
    <col min="9476" max="9477" width="5.19921875" style="1" customWidth="1"/>
    <col min="9478" max="9478" width="10.8984375" style="1" customWidth="1"/>
    <col min="9479" max="9479" width="16.19921875" style="1" customWidth="1"/>
    <col min="9480" max="9480" width="5.69921875" style="1" customWidth="1"/>
    <col min="9481" max="9485" width="9.69921875" style="1" customWidth="1"/>
    <col min="9486" max="9486" width="15.69921875" style="1" customWidth="1"/>
    <col min="9487" max="9488" width="9.69921875" style="1" customWidth="1"/>
    <col min="9489" max="9490" width="12.69921875" style="1" customWidth="1"/>
    <col min="9491" max="9491" width="9.69921875" style="1" customWidth="1"/>
    <col min="9492" max="9731" width="8.8984375" style="1"/>
    <col min="9732" max="9733" width="5.19921875" style="1" customWidth="1"/>
    <col min="9734" max="9734" width="10.8984375" style="1" customWidth="1"/>
    <col min="9735" max="9735" width="16.19921875" style="1" customWidth="1"/>
    <col min="9736" max="9736" width="5.69921875" style="1" customWidth="1"/>
    <col min="9737" max="9741" width="9.69921875" style="1" customWidth="1"/>
    <col min="9742" max="9742" width="15.69921875" style="1" customWidth="1"/>
    <col min="9743" max="9744" width="9.69921875" style="1" customWidth="1"/>
    <col min="9745" max="9746" width="12.69921875" style="1" customWidth="1"/>
    <col min="9747" max="9747" width="9.69921875" style="1" customWidth="1"/>
    <col min="9748" max="9987" width="8.8984375" style="1"/>
    <col min="9988" max="9989" width="5.19921875" style="1" customWidth="1"/>
    <col min="9990" max="9990" width="10.8984375" style="1" customWidth="1"/>
    <col min="9991" max="9991" width="16.19921875" style="1" customWidth="1"/>
    <col min="9992" max="9992" width="5.69921875" style="1" customWidth="1"/>
    <col min="9993" max="9997" width="9.69921875" style="1" customWidth="1"/>
    <col min="9998" max="9998" width="15.69921875" style="1" customWidth="1"/>
    <col min="9999" max="10000" width="9.69921875" style="1" customWidth="1"/>
    <col min="10001" max="10002" width="12.69921875" style="1" customWidth="1"/>
    <col min="10003" max="10003" width="9.69921875" style="1" customWidth="1"/>
    <col min="10004" max="10243" width="8.8984375" style="1"/>
    <col min="10244" max="10245" width="5.19921875" style="1" customWidth="1"/>
    <col min="10246" max="10246" width="10.8984375" style="1" customWidth="1"/>
    <col min="10247" max="10247" width="16.19921875" style="1" customWidth="1"/>
    <col min="10248" max="10248" width="5.69921875" style="1" customWidth="1"/>
    <col min="10249" max="10253" width="9.69921875" style="1" customWidth="1"/>
    <col min="10254" max="10254" width="15.69921875" style="1" customWidth="1"/>
    <col min="10255" max="10256" width="9.69921875" style="1" customWidth="1"/>
    <col min="10257" max="10258" width="12.69921875" style="1" customWidth="1"/>
    <col min="10259" max="10259" width="9.69921875" style="1" customWidth="1"/>
    <col min="10260" max="10499" width="8.8984375" style="1"/>
    <col min="10500" max="10501" width="5.19921875" style="1" customWidth="1"/>
    <col min="10502" max="10502" width="10.8984375" style="1" customWidth="1"/>
    <col min="10503" max="10503" width="16.19921875" style="1" customWidth="1"/>
    <col min="10504" max="10504" width="5.69921875" style="1" customWidth="1"/>
    <col min="10505" max="10509" width="9.69921875" style="1" customWidth="1"/>
    <col min="10510" max="10510" width="15.69921875" style="1" customWidth="1"/>
    <col min="10511" max="10512" width="9.69921875" style="1" customWidth="1"/>
    <col min="10513" max="10514" width="12.69921875" style="1" customWidth="1"/>
    <col min="10515" max="10515" width="9.69921875" style="1" customWidth="1"/>
    <col min="10516" max="10755" width="8.8984375" style="1"/>
    <col min="10756" max="10757" width="5.19921875" style="1" customWidth="1"/>
    <col min="10758" max="10758" width="10.8984375" style="1" customWidth="1"/>
    <col min="10759" max="10759" width="16.19921875" style="1" customWidth="1"/>
    <col min="10760" max="10760" width="5.69921875" style="1" customWidth="1"/>
    <col min="10761" max="10765" width="9.69921875" style="1" customWidth="1"/>
    <col min="10766" max="10766" width="15.69921875" style="1" customWidth="1"/>
    <col min="10767" max="10768" width="9.69921875" style="1" customWidth="1"/>
    <col min="10769" max="10770" width="12.69921875" style="1" customWidth="1"/>
    <col min="10771" max="10771" width="9.69921875" style="1" customWidth="1"/>
    <col min="10772" max="11011" width="8.8984375" style="1"/>
    <col min="11012" max="11013" width="5.19921875" style="1" customWidth="1"/>
    <col min="11014" max="11014" width="10.8984375" style="1" customWidth="1"/>
    <col min="11015" max="11015" width="16.19921875" style="1" customWidth="1"/>
    <col min="11016" max="11016" width="5.69921875" style="1" customWidth="1"/>
    <col min="11017" max="11021" width="9.69921875" style="1" customWidth="1"/>
    <col min="11022" max="11022" width="15.69921875" style="1" customWidth="1"/>
    <col min="11023" max="11024" width="9.69921875" style="1" customWidth="1"/>
    <col min="11025" max="11026" width="12.69921875" style="1" customWidth="1"/>
    <col min="11027" max="11027" width="9.69921875" style="1" customWidth="1"/>
    <col min="11028" max="11267" width="8.8984375" style="1"/>
    <col min="11268" max="11269" width="5.19921875" style="1" customWidth="1"/>
    <col min="11270" max="11270" width="10.8984375" style="1" customWidth="1"/>
    <col min="11271" max="11271" width="16.19921875" style="1" customWidth="1"/>
    <col min="11272" max="11272" width="5.69921875" style="1" customWidth="1"/>
    <col min="11273" max="11277" width="9.69921875" style="1" customWidth="1"/>
    <col min="11278" max="11278" width="15.69921875" style="1" customWidth="1"/>
    <col min="11279" max="11280" width="9.69921875" style="1" customWidth="1"/>
    <col min="11281" max="11282" width="12.69921875" style="1" customWidth="1"/>
    <col min="11283" max="11283" width="9.69921875" style="1" customWidth="1"/>
    <col min="11284" max="11523" width="8.8984375" style="1"/>
    <col min="11524" max="11525" width="5.19921875" style="1" customWidth="1"/>
    <col min="11526" max="11526" width="10.8984375" style="1" customWidth="1"/>
    <col min="11527" max="11527" width="16.19921875" style="1" customWidth="1"/>
    <col min="11528" max="11528" width="5.69921875" style="1" customWidth="1"/>
    <col min="11529" max="11533" width="9.69921875" style="1" customWidth="1"/>
    <col min="11534" max="11534" width="15.69921875" style="1" customWidth="1"/>
    <col min="11535" max="11536" width="9.69921875" style="1" customWidth="1"/>
    <col min="11537" max="11538" width="12.69921875" style="1" customWidth="1"/>
    <col min="11539" max="11539" width="9.69921875" style="1" customWidth="1"/>
    <col min="11540" max="11779" width="8.8984375" style="1"/>
    <col min="11780" max="11781" width="5.19921875" style="1" customWidth="1"/>
    <col min="11782" max="11782" width="10.8984375" style="1" customWidth="1"/>
    <col min="11783" max="11783" width="16.19921875" style="1" customWidth="1"/>
    <col min="11784" max="11784" width="5.69921875" style="1" customWidth="1"/>
    <col min="11785" max="11789" width="9.69921875" style="1" customWidth="1"/>
    <col min="11790" max="11790" width="15.69921875" style="1" customWidth="1"/>
    <col min="11791" max="11792" width="9.69921875" style="1" customWidth="1"/>
    <col min="11793" max="11794" width="12.69921875" style="1" customWidth="1"/>
    <col min="11795" max="11795" width="9.69921875" style="1" customWidth="1"/>
    <col min="11796" max="12035" width="8.8984375" style="1"/>
    <col min="12036" max="12037" width="5.19921875" style="1" customWidth="1"/>
    <col min="12038" max="12038" width="10.8984375" style="1" customWidth="1"/>
    <col min="12039" max="12039" width="16.19921875" style="1" customWidth="1"/>
    <col min="12040" max="12040" width="5.69921875" style="1" customWidth="1"/>
    <col min="12041" max="12045" width="9.69921875" style="1" customWidth="1"/>
    <col min="12046" max="12046" width="15.69921875" style="1" customWidth="1"/>
    <col min="12047" max="12048" width="9.69921875" style="1" customWidth="1"/>
    <col min="12049" max="12050" width="12.69921875" style="1" customWidth="1"/>
    <col min="12051" max="12051" width="9.69921875" style="1" customWidth="1"/>
    <col min="12052" max="12291" width="8.8984375" style="1"/>
    <col min="12292" max="12293" width="5.19921875" style="1" customWidth="1"/>
    <col min="12294" max="12294" width="10.8984375" style="1" customWidth="1"/>
    <col min="12295" max="12295" width="16.19921875" style="1" customWidth="1"/>
    <col min="12296" max="12296" width="5.69921875" style="1" customWidth="1"/>
    <col min="12297" max="12301" width="9.69921875" style="1" customWidth="1"/>
    <col min="12302" max="12302" width="15.69921875" style="1" customWidth="1"/>
    <col min="12303" max="12304" width="9.69921875" style="1" customWidth="1"/>
    <col min="12305" max="12306" width="12.69921875" style="1" customWidth="1"/>
    <col min="12307" max="12307" width="9.69921875" style="1" customWidth="1"/>
    <col min="12308" max="12547" width="8.8984375" style="1"/>
    <col min="12548" max="12549" width="5.19921875" style="1" customWidth="1"/>
    <col min="12550" max="12550" width="10.8984375" style="1" customWidth="1"/>
    <col min="12551" max="12551" width="16.19921875" style="1" customWidth="1"/>
    <col min="12552" max="12552" width="5.69921875" style="1" customWidth="1"/>
    <col min="12553" max="12557" width="9.69921875" style="1" customWidth="1"/>
    <col min="12558" max="12558" width="15.69921875" style="1" customWidth="1"/>
    <col min="12559" max="12560" width="9.69921875" style="1" customWidth="1"/>
    <col min="12561" max="12562" width="12.69921875" style="1" customWidth="1"/>
    <col min="12563" max="12563" width="9.69921875" style="1" customWidth="1"/>
    <col min="12564" max="12803" width="8.8984375" style="1"/>
    <col min="12804" max="12805" width="5.19921875" style="1" customWidth="1"/>
    <col min="12806" max="12806" width="10.8984375" style="1" customWidth="1"/>
    <col min="12807" max="12807" width="16.19921875" style="1" customWidth="1"/>
    <col min="12808" max="12808" width="5.69921875" style="1" customWidth="1"/>
    <col min="12809" max="12813" width="9.69921875" style="1" customWidth="1"/>
    <col min="12814" max="12814" width="15.69921875" style="1" customWidth="1"/>
    <col min="12815" max="12816" width="9.69921875" style="1" customWidth="1"/>
    <col min="12817" max="12818" width="12.69921875" style="1" customWidth="1"/>
    <col min="12819" max="12819" width="9.69921875" style="1" customWidth="1"/>
    <col min="12820" max="13059" width="8.8984375" style="1"/>
    <col min="13060" max="13061" width="5.19921875" style="1" customWidth="1"/>
    <col min="13062" max="13062" width="10.8984375" style="1" customWidth="1"/>
    <col min="13063" max="13063" width="16.19921875" style="1" customWidth="1"/>
    <col min="13064" max="13064" width="5.69921875" style="1" customWidth="1"/>
    <col min="13065" max="13069" width="9.69921875" style="1" customWidth="1"/>
    <col min="13070" max="13070" width="15.69921875" style="1" customWidth="1"/>
    <col min="13071" max="13072" width="9.69921875" style="1" customWidth="1"/>
    <col min="13073" max="13074" width="12.69921875" style="1" customWidth="1"/>
    <col min="13075" max="13075" width="9.69921875" style="1" customWidth="1"/>
    <col min="13076" max="13315" width="8.8984375" style="1"/>
    <col min="13316" max="13317" width="5.19921875" style="1" customWidth="1"/>
    <col min="13318" max="13318" width="10.8984375" style="1" customWidth="1"/>
    <col min="13319" max="13319" width="16.19921875" style="1" customWidth="1"/>
    <col min="13320" max="13320" width="5.69921875" style="1" customWidth="1"/>
    <col min="13321" max="13325" width="9.69921875" style="1" customWidth="1"/>
    <col min="13326" max="13326" width="15.69921875" style="1" customWidth="1"/>
    <col min="13327" max="13328" width="9.69921875" style="1" customWidth="1"/>
    <col min="13329" max="13330" width="12.69921875" style="1" customWidth="1"/>
    <col min="13331" max="13331" width="9.69921875" style="1" customWidth="1"/>
    <col min="13332" max="13571" width="8.8984375" style="1"/>
    <col min="13572" max="13573" width="5.19921875" style="1" customWidth="1"/>
    <col min="13574" max="13574" width="10.8984375" style="1" customWidth="1"/>
    <col min="13575" max="13575" width="16.19921875" style="1" customWidth="1"/>
    <col min="13576" max="13576" width="5.69921875" style="1" customWidth="1"/>
    <col min="13577" max="13581" width="9.69921875" style="1" customWidth="1"/>
    <col min="13582" max="13582" width="15.69921875" style="1" customWidth="1"/>
    <col min="13583" max="13584" width="9.69921875" style="1" customWidth="1"/>
    <col min="13585" max="13586" width="12.69921875" style="1" customWidth="1"/>
    <col min="13587" max="13587" width="9.69921875" style="1" customWidth="1"/>
    <col min="13588" max="13827" width="8.8984375" style="1"/>
    <col min="13828" max="13829" width="5.19921875" style="1" customWidth="1"/>
    <col min="13830" max="13830" width="10.8984375" style="1" customWidth="1"/>
    <col min="13831" max="13831" width="16.19921875" style="1" customWidth="1"/>
    <col min="13832" max="13832" width="5.69921875" style="1" customWidth="1"/>
    <col min="13833" max="13837" width="9.69921875" style="1" customWidth="1"/>
    <col min="13838" max="13838" width="15.69921875" style="1" customWidth="1"/>
    <col min="13839" max="13840" width="9.69921875" style="1" customWidth="1"/>
    <col min="13841" max="13842" width="12.69921875" style="1" customWidth="1"/>
    <col min="13843" max="13843" width="9.69921875" style="1" customWidth="1"/>
    <col min="13844" max="14083" width="8.8984375" style="1"/>
    <col min="14084" max="14085" width="5.19921875" style="1" customWidth="1"/>
    <col min="14086" max="14086" width="10.8984375" style="1" customWidth="1"/>
    <col min="14087" max="14087" width="16.19921875" style="1" customWidth="1"/>
    <col min="14088" max="14088" width="5.69921875" style="1" customWidth="1"/>
    <col min="14089" max="14093" width="9.69921875" style="1" customWidth="1"/>
    <col min="14094" max="14094" width="15.69921875" style="1" customWidth="1"/>
    <col min="14095" max="14096" width="9.69921875" style="1" customWidth="1"/>
    <col min="14097" max="14098" width="12.69921875" style="1" customWidth="1"/>
    <col min="14099" max="14099" width="9.69921875" style="1" customWidth="1"/>
    <col min="14100" max="14339" width="8.8984375" style="1"/>
    <col min="14340" max="14341" width="5.19921875" style="1" customWidth="1"/>
    <col min="14342" max="14342" width="10.8984375" style="1" customWidth="1"/>
    <col min="14343" max="14343" width="16.19921875" style="1" customWidth="1"/>
    <col min="14344" max="14344" width="5.69921875" style="1" customWidth="1"/>
    <col min="14345" max="14349" width="9.69921875" style="1" customWidth="1"/>
    <col min="14350" max="14350" width="15.69921875" style="1" customWidth="1"/>
    <col min="14351" max="14352" width="9.69921875" style="1" customWidth="1"/>
    <col min="14353" max="14354" width="12.69921875" style="1" customWidth="1"/>
    <col min="14355" max="14355" width="9.69921875" style="1" customWidth="1"/>
    <col min="14356" max="14595" width="8.8984375" style="1"/>
    <col min="14596" max="14597" width="5.19921875" style="1" customWidth="1"/>
    <col min="14598" max="14598" width="10.8984375" style="1" customWidth="1"/>
    <col min="14599" max="14599" width="16.19921875" style="1" customWidth="1"/>
    <col min="14600" max="14600" width="5.69921875" style="1" customWidth="1"/>
    <col min="14601" max="14605" width="9.69921875" style="1" customWidth="1"/>
    <col min="14606" max="14606" width="15.69921875" style="1" customWidth="1"/>
    <col min="14607" max="14608" width="9.69921875" style="1" customWidth="1"/>
    <col min="14609" max="14610" width="12.69921875" style="1" customWidth="1"/>
    <col min="14611" max="14611" width="9.69921875" style="1" customWidth="1"/>
    <col min="14612" max="14851" width="8.8984375" style="1"/>
    <col min="14852" max="14853" width="5.19921875" style="1" customWidth="1"/>
    <col min="14854" max="14854" width="10.8984375" style="1" customWidth="1"/>
    <col min="14855" max="14855" width="16.19921875" style="1" customWidth="1"/>
    <col min="14856" max="14856" width="5.69921875" style="1" customWidth="1"/>
    <col min="14857" max="14861" width="9.69921875" style="1" customWidth="1"/>
    <col min="14862" max="14862" width="15.69921875" style="1" customWidth="1"/>
    <col min="14863" max="14864" width="9.69921875" style="1" customWidth="1"/>
    <col min="14865" max="14866" width="12.69921875" style="1" customWidth="1"/>
    <col min="14867" max="14867" width="9.69921875" style="1" customWidth="1"/>
    <col min="14868" max="15107" width="8.8984375" style="1"/>
    <col min="15108" max="15109" width="5.19921875" style="1" customWidth="1"/>
    <col min="15110" max="15110" width="10.8984375" style="1" customWidth="1"/>
    <col min="15111" max="15111" width="16.19921875" style="1" customWidth="1"/>
    <col min="15112" max="15112" width="5.69921875" style="1" customWidth="1"/>
    <col min="15113" max="15117" width="9.69921875" style="1" customWidth="1"/>
    <col min="15118" max="15118" width="15.69921875" style="1" customWidth="1"/>
    <col min="15119" max="15120" width="9.69921875" style="1" customWidth="1"/>
    <col min="15121" max="15122" width="12.69921875" style="1" customWidth="1"/>
    <col min="15123" max="15123" width="9.69921875" style="1" customWidth="1"/>
    <col min="15124" max="15363" width="8.8984375" style="1"/>
    <col min="15364" max="15365" width="5.19921875" style="1" customWidth="1"/>
    <col min="15366" max="15366" width="10.8984375" style="1" customWidth="1"/>
    <col min="15367" max="15367" width="16.19921875" style="1" customWidth="1"/>
    <col min="15368" max="15368" width="5.69921875" style="1" customWidth="1"/>
    <col min="15369" max="15373" width="9.69921875" style="1" customWidth="1"/>
    <col min="15374" max="15374" width="15.69921875" style="1" customWidth="1"/>
    <col min="15375" max="15376" width="9.69921875" style="1" customWidth="1"/>
    <col min="15377" max="15378" width="12.69921875" style="1" customWidth="1"/>
    <col min="15379" max="15379" width="9.69921875" style="1" customWidth="1"/>
    <col min="15380" max="15619" width="8.8984375" style="1"/>
    <col min="15620" max="15621" width="5.19921875" style="1" customWidth="1"/>
    <col min="15622" max="15622" width="10.8984375" style="1" customWidth="1"/>
    <col min="15623" max="15623" width="16.19921875" style="1" customWidth="1"/>
    <col min="15624" max="15624" width="5.69921875" style="1" customWidth="1"/>
    <col min="15625" max="15629" width="9.69921875" style="1" customWidth="1"/>
    <col min="15630" max="15630" width="15.69921875" style="1" customWidth="1"/>
    <col min="15631" max="15632" width="9.69921875" style="1" customWidth="1"/>
    <col min="15633" max="15634" width="12.69921875" style="1" customWidth="1"/>
    <col min="15635" max="15635" width="9.69921875" style="1" customWidth="1"/>
    <col min="15636" max="15875" width="8.8984375" style="1"/>
    <col min="15876" max="15877" width="5.19921875" style="1" customWidth="1"/>
    <col min="15878" max="15878" width="10.8984375" style="1" customWidth="1"/>
    <col min="15879" max="15879" width="16.19921875" style="1" customWidth="1"/>
    <col min="15880" max="15880" width="5.69921875" style="1" customWidth="1"/>
    <col min="15881" max="15885" width="9.69921875" style="1" customWidth="1"/>
    <col min="15886" max="15886" width="15.69921875" style="1" customWidth="1"/>
    <col min="15887" max="15888" width="9.69921875" style="1" customWidth="1"/>
    <col min="15889" max="15890" width="12.69921875" style="1" customWidth="1"/>
    <col min="15891" max="15891" width="9.69921875" style="1" customWidth="1"/>
    <col min="15892" max="16131" width="8.8984375" style="1"/>
    <col min="16132" max="16133" width="5.19921875" style="1" customWidth="1"/>
    <col min="16134" max="16134" width="10.8984375" style="1" customWidth="1"/>
    <col min="16135" max="16135" width="16.19921875" style="1" customWidth="1"/>
    <col min="16136" max="16136" width="5.69921875" style="1" customWidth="1"/>
    <col min="16137" max="16141" width="9.69921875" style="1" customWidth="1"/>
    <col min="16142" max="16142" width="15.69921875" style="1" customWidth="1"/>
    <col min="16143" max="16144" width="9.69921875" style="1" customWidth="1"/>
    <col min="16145" max="16146" width="12.69921875" style="1" customWidth="1"/>
    <col min="16147" max="16147" width="9.69921875" style="1" customWidth="1"/>
    <col min="16148" max="16384" width="8.8984375" style="1"/>
  </cols>
  <sheetData>
    <row r="1" spans="1:31" x14ac:dyDescent="0.4">
      <c r="A1" s="8">
        <v>0</v>
      </c>
      <c r="B1" s="106"/>
      <c r="C1" s="106"/>
      <c r="D1" s="107"/>
      <c r="E1" s="106"/>
      <c r="F1" s="106"/>
      <c r="G1" s="108"/>
      <c r="H1" s="108"/>
      <c r="I1" s="109"/>
      <c r="J1" s="106"/>
      <c r="K1" s="106"/>
      <c r="L1" s="106"/>
      <c r="M1" s="106"/>
      <c r="N1" s="106"/>
      <c r="O1" s="106"/>
      <c r="P1" s="106"/>
      <c r="Q1" s="110"/>
      <c r="R1" s="110"/>
      <c r="S1" s="8">
        <v>15</v>
      </c>
      <c r="T1" s="8">
        <v>16</v>
      </c>
      <c r="U1" s="8">
        <v>17</v>
      </c>
      <c r="V1" s="8">
        <v>18</v>
      </c>
    </row>
    <row r="2" spans="1:31" ht="35.1" customHeight="1" x14ac:dyDescent="0.4">
      <c r="B2" s="155" t="s">
        <v>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7"/>
      <c r="T2" s="10"/>
    </row>
    <row r="3" spans="1:31" ht="9.9" customHeight="1" x14ac:dyDescent="0.4">
      <c r="B3" s="49"/>
      <c r="C3" s="49"/>
      <c r="D3" s="111"/>
      <c r="E3" s="49"/>
      <c r="F3" s="49"/>
      <c r="G3" s="112"/>
      <c r="H3" s="112"/>
      <c r="I3" s="50"/>
      <c r="J3" s="49"/>
      <c r="K3" s="49"/>
      <c r="L3" s="49"/>
      <c r="M3" s="49"/>
      <c r="N3" s="49"/>
      <c r="O3" s="49"/>
      <c r="P3" s="49"/>
      <c r="Q3" s="51"/>
      <c r="R3" s="56" t="s">
        <v>22</v>
      </c>
    </row>
    <row r="4" spans="1:31" ht="20.100000000000001" customHeight="1" thickBot="1" x14ac:dyDescent="0.45">
      <c r="B4" s="52"/>
      <c r="C4" s="53" t="s">
        <v>41</v>
      </c>
      <c r="D4" s="191" t="s">
        <v>37</v>
      </c>
      <c r="E4" s="192" t="s">
        <v>38</v>
      </c>
      <c r="F4" s="192" t="s">
        <v>47</v>
      </c>
      <c r="G4" s="181" t="s">
        <v>39</v>
      </c>
      <c r="H4" s="181" t="s">
        <v>47</v>
      </c>
      <c r="I4" s="182" t="s">
        <v>47</v>
      </c>
      <c r="J4" s="53" t="s">
        <v>47</v>
      </c>
      <c r="K4" s="53" t="s">
        <v>40</v>
      </c>
      <c r="L4" s="53" t="s">
        <v>47</v>
      </c>
      <c r="M4" s="53" t="s">
        <v>47</v>
      </c>
      <c r="N4" s="53" t="s">
        <v>47</v>
      </c>
      <c r="O4" s="53" t="s">
        <v>47</v>
      </c>
      <c r="P4" s="53" t="s">
        <v>47</v>
      </c>
      <c r="Q4" s="193" t="s">
        <v>42</v>
      </c>
      <c r="R4" s="193" t="s">
        <v>43</v>
      </c>
      <c r="S4" s="2"/>
      <c r="T4" s="8" t="s">
        <v>23</v>
      </c>
      <c r="U4" s="8" t="s">
        <v>24</v>
      </c>
      <c r="V4" s="8" t="s">
        <v>36</v>
      </c>
      <c r="W4" s="8" t="s">
        <v>27</v>
      </c>
      <c r="X4" s="8" t="s">
        <v>29</v>
      </c>
      <c r="Y4" s="8" t="s">
        <v>25</v>
      </c>
      <c r="Z4" s="8" t="s">
        <v>28</v>
      </c>
      <c r="AA4" s="8" t="s">
        <v>33</v>
      </c>
    </row>
    <row r="5" spans="1:31" ht="24.9" customHeight="1" x14ac:dyDescent="0.4">
      <c r="A5" s="173"/>
      <c r="B5" s="167" t="s">
        <v>2</v>
      </c>
      <c r="C5" s="167" t="s">
        <v>3</v>
      </c>
      <c r="D5" s="175" t="s">
        <v>4</v>
      </c>
      <c r="E5" s="167" t="s">
        <v>5</v>
      </c>
      <c r="F5" s="167" t="s">
        <v>6</v>
      </c>
      <c r="G5" s="168" t="s">
        <v>7</v>
      </c>
      <c r="H5" s="170" t="s">
        <v>8</v>
      </c>
      <c r="I5" s="170"/>
      <c r="J5" s="167" t="s">
        <v>9</v>
      </c>
      <c r="K5" s="167"/>
      <c r="L5" s="167" t="s">
        <v>17</v>
      </c>
      <c r="M5" s="167" t="s">
        <v>18</v>
      </c>
      <c r="N5" s="167" t="s">
        <v>19</v>
      </c>
      <c r="O5" s="167" t="s">
        <v>20</v>
      </c>
      <c r="P5" s="167" t="s">
        <v>21</v>
      </c>
      <c r="Q5" s="167" t="s">
        <v>10</v>
      </c>
      <c r="R5" s="166" t="s">
        <v>15</v>
      </c>
      <c r="S5" s="178"/>
      <c r="T5" s="153">
        <f t="shared" ref="T5:AA5" si="0">SUMIF($D$7:$D$10020,T4,$G$7:$G$10020)</f>
        <v>0</v>
      </c>
      <c r="U5" s="147">
        <f t="shared" si="0"/>
        <v>0</v>
      </c>
      <c r="V5" s="147">
        <f t="shared" si="0"/>
        <v>0</v>
      </c>
      <c r="W5" s="147">
        <f t="shared" si="0"/>
        <v>0</v>
      </c>
      <c r="X5" s="162">
        <f t="shared" si="0"/>
        <v>0</v>
      </c>
      <c r="Y5" s="162">
        <f t="shared" si="0"/>
        <v>0</v>
      </c>
      <c r="Z5" s="164">
        <f t="shared" si="0"/>
        <v>0</v>
      </c>
      <c r="AA5" s="160">
        <f t="shared" si="0"/>
        <v>0</v>
      </c>
      <c r="AB5" s="185">
        <f>SUM(T5:AA6)</f>
        <v>0</v>
      </c>
    </row>
    <row r="6" spans="1:31" ht="24.9" customHeight="1" x14ac:dyDescent="0.4">
      <c r="A6" s="174"/>
      <c r="B6" s="158"/>
      <c r="C6" s="158"/>
      <c r="D6" s="176"/>
      <c r="E6" s="158"/>
      <c r="F6" s="158"/>
      <c r="G6" s="169"/>
      <c r="H6" s="77" t="s">
        <v>11</v>
      </c>
      <c r="I6" s="39" t="s">
        <v>12</v>
      </c>
      <c r="J6" s="38" t="s">
        <v>13</v>
      </c>
      <c r="K6" s="38" t="s">
        <v>14</v>
      </c>
      <c r="L6" s="158"/>
      <c r="M6" s="158"/>
      <c r="N6" s="158"/>
      <c r="O6" s="158"/>
      <c r="P6" s="158"/>
      <c r="Q6" s="158"/>
      <c r="R6" s="146"/>
      <c r="S6" s="179"/>
      <c r="T6" s="180"/>
      <c r="U6" s="177"/>
      <c r="V6" s="177"/>
      <c r="W6" s="177"/>
      <c r="X6" s="163"/>
      <c r="Y6" s="163"/>
      <c r="Z6" s="165"/>
      <c r="AA6" s="161"/>
      <c r="AB6" s="185"/>
    </row>
    <row r="7" spans="1:31" ht="40.200000000000003" customHeight="1" x14ac:dyDescent="0.4">
      <c r="B7" s="38"/>
      <c r="C7" s="3"/>
      <c r="D7" s="11"/>
      <c r="E7" s="145" t="s">
        <v>16</v>
      </c>
      <c r="F7" s="13">
        <f>G7</f>
        <v>0</v>
      </c>
      <c r="G7" s="78"/>
      <c r="H7" s="79" t="str">
        <f>IF(G7="","",(G7-J7))</f>
        <v/>
      </c>
      <c r="I7" s="15" t="str">
        <f>IF(H7="","",(H7-J7))</f>
        <v/>
      </c>
      <c r="J7" s="4">
        <v>0</v>
      </c>
      <c r="K7" s="5"/>
      <c r="L7" s="7">
        <f>C7</f>
        <v>0</v>
      </c>
      <c r="M7" s="12">
        <f>G7</f>
        <v>0</v>
      </c>
      <c r="N7" s="12">
        <v>0</v>
      </c>
      <c r="O7" s="12">
        <v>0</v>
      </c>
      <c r="P7" s="12">
        <v>0</v>
      </c>
      <c r="Q7" s="16"/>
      <c r="R7" s="16"/>
      <c r="S7" s="183"/>
      <c r="T7" s="186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187">
        <v>0</v>
      </c>
      <c r="AB7" s="58"/>
      <c r="AC7" s="18"/>
      <c r="AD7" s="171" t="s">
        <v>32</v>
      </c>
      <c r="AE7" s="172"/>
    </row>
    <row r="8" spans="1:31" ht="40.200000000000003" customHeight="1" thickBot="1" x14ac:dyDescent="0.45">
      <c r="B8" s="38"/>
      <c r="C8" s="3"/>
      <c r="D8" s="11"/>
      <c r="E8" s="40" t="s">
        <v>16</v>
      </c>
      <c r="F8" s="13">
        <f t="shared" ref="F8:F71" si="1">G8</f>
        <v>0</v>
      </c>
      <c r="G8" s="78"/>
      <c r="H8" s="79" t="str">
        <f t="shared" ref="H8:H19" si="2">IF(G8="","",(G8))</f>
        <v/>
      </c>
      <c r="I8" s="15" t="str">
        <f t="shared" ref="I8:I71" si="3">IF(H8="","",(H8+I7-J8))</f>
        <v/>
      </c>
      <c r="J8" s="4">
        <v>0</v>
      </c>
      <c r="K8" s="5"/>
      <c r="L8" s="7">
        <f>C8</f>
        <v>0</v>
      </c>
      <c r="M8" s="12">
        <f>G8</f>
        <v>0</v>
      </c>
      <c r="N8" s="12">
        <v>0</v>
      </c>
      <c r="O8" s="12">
        <v>0</v>
      </c>
      <c r="P8" s="12">
        <v>0</v>
      </c>
      <c r="Q8" s="16"/>
      <c r="R8" s="16"/>
      <c r="S8" s="184"/>
      <c r="T8" s="188">
        <f t="shared" ref="T8:AA8" si="4">ROUNDUP(T5/50,0)</f>
        <v>0</v>
      </c>
      <c r="U8" s="189">
        <f t="shared" si="4"/>
        <v>0</v>
      </c>
      <c r="V8" s="189">
        <f t="shared" si="4"/>
        <v>0</v>
      </c>
      <c r="W8" s="189">
        <f t="shared" si="4"/>
        <v>0</v>
      </c>
      <c r="X8" s="189">
        <f t="shared" si="4"/>
        <v>0</v>
      </c>
      <c r="Y8" s="189">
        <f t="shared" si="4"/>
        <v>0</v>
      </c>
      <c r="Z8" s="189">
        <f t="shared" si="4"/>
        <v>0</v>
      </c>
      <c r="AA8" s="190">
        <f t="shared" si="4"/>
        <v>0</v>
      </c>
      <c r="AB8" s="18"/>
      <c r="AC8" s="18"/>
    </row>
    <row r="9" spans="1:31" ht="40.200000000000003" customHeight="1" x14ac:dyDescent="0.4">
      <c r="B9" s="38"/>
      <c r="C9" s="3"/>
      <c r="D9" s="11"/>
      <c r="E9" s="40" t="s">
        <v>16</v>
      </c>
      <c r="F9" s="13">
        <f t="shared" si="1"/>
        <v>0</v>
      </c>
      <c r="G9" s="79"/>
      <c r="H9" s="79" t="str">
        <f t="shared" si="2"/>
        <v/>
      </c>
      <c r="I9" s="15" t="str">
        <f t="shared" si="3"/>
        <v/>
      </c>
      <c r="J9" s="6">
        <v>0</v>
      </c>
      <c r="K9" s="40"/>
      <c r="L9" s="7">
        <f t="shared" ref="L8:L27" si="5">C9</f>
        <v>0</v>
      </c>
      <c r="M9" s="12">
        <f>G9</f>
        <v>0</v>
      </c>
      <c r="N9" s="12">
        <v>0</v>
      </c>
      <c r="O9" s="12">
        <v>0</v>
      </c>
      <c r="P9" s="12">
        <v>0</v>
      </c>
      <c r="Q9" s="16"/>
      <c r="R9" s="16"/>
      <c r="S9" s="35"/>
      <c r="T9" s="141"/>
      <c r="AA9" s="19"/>
      <c r="AB9" s="19"/>
      <c r="AC9" s="19"/>
    </row>
    <row r="10" spans="1:31" ht="40.200000000000003" customHeight="1" x14ac:dyDescent="0.4">
      <c r="B10" s="38"/>
      <c r="C10" s="3"/>
      <c r="D10" s="11"/>
      <c r="E10" s="40" t="s">
        <v>16</v>
      </c>
      <c r="F10" s="13">
        <f t="shared" si="1"/>
        <v>0</v>
      </c>
      <c r="G10" s="79"/>
      <c r="H10" s="79" t="str">
        <f t="shared" si="2"/>
        <v/>
      </c>
      <c r="I10" s="15" t="str">
        <f t="shared" si="3"/>
        <v/>
      </c>
      <c r="J10" s="6">
        <v>0</v>
      </c>
      <c r="K10" s="40"/>
      <c r="L10" s="7">
        <f t="shared" si="5"/>
        <v>0</v>
      </c>
      <c r="M10" s="12">
        <f t="shared" ref="M10:M27" si="6">G10</f>
        <v>0</v>
      </c>
      <c r="N10" s="12">
        <v>0</v>
      </c>
      <c r="O10" s="12">
        <v>0</v>
      </c>
      <c r="P10" s="12">
        <v>0</v>
      </c>
      <c r="Q10" s="16"/>
      <c r="R10" s="16"/>
      <c r="S10" s="34"/>
      <c r="T10" s="9"/>
      <c r="AA10" s="19"/>
      <c r="AB10" s="19"/>
      <c r="AC10" s="19"/>
    </row>
    <row r="11" spans="1:31" ht="40.200000000000003" customHeight="1" x14ac:dyDescent="0.4">
      <c r="B11" s="38"/>
      <c r="C11" s="3"/>
      <c r="D11" s="11"/>
      <c r="E11" s="40" t="s">
        <v>16</v>
      </c>
      <c r="F11" s="13">
        <f t="shared" si="1"/>
        <v>0</v>
      </c>
      <c r="G11" s="79"/>
      <c r="H11" s="79" t="str">
        <f t="shared" si="2"/>
        <v/>
      </c>
      <c r="I11" s="15" t="str">
        <f t="shared" si="3"/>
        <v/>
      </c>
      <c r="J11" s="6">
        <v>0</v>
      </c>
      <c r="K11" s="40"/>
      <c r="L11" s="7">
        <f t="shared" si="5"/>
        <v>0</v>
      </c>
      <c r="M11" s="12">
        <f t="shared" si="6"/>
        <v>0</v>
      </c>
      <c r="N11" s="12">
        <v>0</v>
      </c>
      <c r="O11" s="12">
        <v>0</v>
      </c>
      <c r="P11" s="12">
        <v>0</v>
      </c>
      <c r="Q11" s="16"/>
      <c r="R11" s="16"/>
      <c r="S11" s="34"/>
      <c r="T11" s="9"/>
      <c r="AA11" s="19"/>
      <c r="AB11" s="19"/>
      <c r="AC11" s="19"/>
    </row>
    <row r="12" spans="1:31" ht="40.200000000000003" customHeight="1" x14ac:dyDescent="0.4">
      <c r="B12" s="38"/>
      <c r="C12" s="3"/>
      <c r="D12" s="11"/>
      <c r="E12" s="40" t="s">
        <v>16</v>
      </c>
      <c r="F12" s="13">
        <f t="shared" si="1"/>
        <v>0</v>
      </c>
      <c r="G12" s="79"/>
      <c r="H12" s="79" t="str">
        <f t="shared" si="2"/>
        <v/>
      </c>
      <c r="I12" s="15" t="str">
        <f>IF(H12="","",(H12+I11-J12))</f>
        <v/>
      </c>
      <c r="J12" s="6">
        <v>0</v>
      </c>
      <c r="K12" s="40"/>
      <c r="L12" s="7">
        <f t="shared" si="5"/>
        <v>0</v>
      </c>
      <c r="M12" s="12">
        <f t="shared" ref="M12:M16" si="7">G12</f>
        <v>0</v>
      </c>
      <c r="N12" s="12">
        <v>0</v>
      </c>
      <c r="O12" s="12">
        <v>0</v>
      </c>
      <c r="P12" s="12">
        <v>0</v>
      </c>
      <c r="Q12" s="16"/>
      <c r="R12" s="16"/>
      <c r="S12" s="34"/>
      <c r="T12" s="9"/>
      <c r="AA12" s="19"/>
      <c r="AB12" s="19"/>
      <c r="AC12" s="19"/>
    </row>
    <row r="13" spans="1:31" ht="40.200000000000003" customHeight="1" x14ac:dyDescent="0.4">
      <c r="B13" s="38"/>
      <c r="C13" s="3"/>
      <c r="D13" s="11"/>
      <c r="E13" s="40" t="s">
        <v>16</v>
      </c>
      <c r="F13" s="13">
        <f t="shared" si="1"/>
        <v>0</v>
      </c>
      <c r="G13" s="79"/>
      <c r="H13" s="79" t="str">
        <f t="shared" si="2"/>
        <v/>
      </c>
      <c r="I13" s="15" t="str">
        <f t="shared" si="3"/>
        <v/>
      </c>
      <c r="J13" s="6">
        <v>0</v>
      </c>
      <c r="K13" s="40"/>
      <c r="L13" s="7">
        <f t="shared" si="5"/>
        <v>0</v>
      </c>
      <c r="M13" s="12">
        <f t="shared" si="7"/>
        <v>0</v>
      </c>
      <c r="N13" s="12">
        <v>0</v>
      </c>
      <c r="O13" s="12">
        <v>0</v>
      </c>
      <c r="P13" s="12">
        <v>0</v>
      </c>
      <c r="Q13" s="16"/>
      <c r="R13" s="16"/>
      <c r="S13" s="34"/>
      <c r="T13" s="9"/>
      <c r="AA13" s="19"/>
      <c r="AB13" s="19"/>
      <c r="AC13" s="19"/>
    </row>
    <row r="14" spans="1:31" ht="40.200000000000003" customHeight="1" x14ac:dyDescent="0.4">
      <c r="B14" s="38"/>
      <c r="C14" s="3"/>
      <c r="D14" s="11"/>
      <c r="E14" s="40" t="s">
        <v>16</v>
      </c>
      <c r="F14" s="13">
        <f t="shared" si="1"/>
        <v>0</v>
      </c>
      <c r="G14" s="79"/>
      <c r="H14" s="79" t="str">
        <f t="shared" si="2"/>
        <v/>
      </c>
      <c r="I14" s="15" t="str">
        <f t="shared" si="3"/>
        <v/>
      </c>
      <c r="J14" s="6">
        <v>0</v>
      </c>
      <c r="K14" s="40"/>
      <c r="L14" s="7">
        <f t="shared" si="5"/>
        <v>0</v>
      </c>
      <c r="M14" s="12">
        <f t="shared" si="7"/>
        <v>0</v>
      </c>
      <c r="N14" s="12">
        <v>0</v>
      </c>
      <c r="O14" s="12">
        <v>0</v>
      </c>
      <c r="P14" s="12">
        <v>0</v>
      </c>
      <c r="Q14" s="16"/>
      <c r="R14" s="16"/>
      <c r="S14" s="34"/>
      <c r="T14" s="9"/>
      <c r="AA14" s="19"/>
      <c r="AB14" s="19"/>
      <c r="AC14" s="19"/>
    </row>
    <row r="15" spans="1:31" ht="40.200000000000003" customHeight="1" x14ac:dyDescent="0.4">
      <c r="B15" s="38"/>
      <c r="C15" s="3"/>
      <c r="D15" s="11"/>
      <c r="E15" s="40" t="s">
        <v>16</v>
      </c>
      <c r="F15" s="13">
        <f t="shared" si="1"/>
        <v>0</v>
      </c>
      <c r="G15" s="79"/>
      <c r="H15" s="79" t="str">
        <f t="shared" ref="H15:H16" si="8">IF(G15="","",(G15))</f>
        <v/>
      </c>
      <c r="I15" s="15" t="str">
        <f t="shared" si="3"/>
        <v/>
      </c>
      <c r="J15" s="6">
        <v>0</v>
      </c>
      <c r="K15" s="40"/>
      <c r="L15" s="7">
        <f t="shared" si="5"/>
        <v>0</v>
      </c>
      <c r="M15" s="12">
        <f t="shared" si="7"/>
        <v>0</v>
      </c>
      <c r="N15" s="12">
        <v>0</v>
      </c>
      <c r="O15" s="12">
        <v>0</v>
      </c>
      <c r="P15" s="12">
        <v>0</v>
      </c>
      <c r="Q15" s="16"/>
      <c r="R15" s="16"/>
      <c r="S15" s="34"/>
      <c r="T15" s="9"/>
      <c r="AA15" s="19"/>
      <c r="AB15" s="19"/>
      <c r="AC15" s="19"/>
    </row>
    <row r="16" spans="1:31" ht="40.200000000000003" customHeight="1" x14ac:dyDescent="0.4">
      <c r="B16" s="38"/>
      <c r="C16" s="3"/>
      <c r="D16" s="11"/>
      <c r="E16" s="40" t="s">
        <v>16</v>
      </c>
      <c r="F16" s="13">
        <f t="shared" si="1"/>
        <v>0</v>
      </c>
      <c r="G16" s="79"/>
      <c r="H16" s="79" t="str">
        <f t="shared" si="8"/>
        <v/>
      </c>
      <c r="I16" s="15" t="str">
        <f t="shared" si="3"/>
        <v/>
      </c>
      <c r="J16" s="6">
        <v>0</v>
      </c>
      <c r="K16" s="40"/>
      <c r="L16" s="7">
        <f t="shared" si="5"/>
        <v>0</v>
      </c>
      <c r="M16" s="12">
        <f t="shared" si="7"/>
        <v>0</v>
      </c>
      <c r="N16" s="12">
        <v>0</v>
      </c>
      <c r="O16" s="12">
        <v>0</v>
      </c>
      <c r="P16" s="12">
        <v>0</v>
      </c>
      <c r="Q16" s="16"/>
      <c r="R16" s="16"/>
      <c r="S16" s="34"/>
      <c r="T16" s="9"/>
      <c r="AA16" s="19"/>
      <c r="AB16" s="19"/>
      <c r="AC16" s="19"/>
    </row>
    <row r="17" spans="2:29" ht="40.200000000000003" customHeight="1" x14ac:dyDescent="0.4">
      <c r="B17" s="144"/>
      <c r="C17" s="3"/>
      <c r="D17" s="11"/>
      <c r="E17" s="40" t="s">
        <v>16</v>
      </c>
      <c r="F17" s="13">
        <f t="shared" si="1"/>
        <v>0</v>
      </c>
      <c r="G17" s="79"/>
      <c r="H17" s="79" t="str">
        <f t="shared" si="2"/>
        <v/>
      </c>
      <c r="I17" s="15" t="str">
        <f t="shared" si="3"/>
        <v/>
      </c>
      <c r="J17" s="6">
        <v>0</v>
      </c>
      <c r="K17" s="40"/>
      <c r="L17" s="7">
        <f t="shared" si="5"/>
        <v>0</v>
      </c>
      <c r="M17" s="12">
        <f t="shared" si="6"/>
        <v>0</v>
      </c>
      <c r="N17" s="12">
        <v>0</v>
      </c>
      <c r="O17" s="12">
        <v>0</v>
      </c>
      <c r="P17" s="12">
        <v>0</v>
      </c>
      <c r="Q17" s="16"/>
      <c r="R17" s="16"/>
      <c r="S17" s="34"/>
      <c r="T17" s="9"/>
      <c r="AA17" s="19"/>
      <c r="AB17" s="19"/>
      <c r="AC17" s="19"/>
    </row>
    <row r="18" spans="2:29" ht="40.200000000000003" customHeight="1" x14ac:dyDescent="0.4">
      <c r="B18" s="38"/>
      <c r="C18" s="3"/>
      <c r="D18" s="11"/>
      <c r="E18" s="40" t="s">
        <v>16</v>
      </c>
      <c r="F18" s="13">
        <f t="shared" si="1"/>
        <v>0</v>
      </c>
      <c r="G18" s="79"/>
      <c r="H18" s="79" t="str">
        <f t="shared" si="2"/>
        <v/>
      </c>
      <c r="I18" s="15" t="str">
        <f t="shared" si="3"/>
        <v/>
      </c>
      <c r="J18" s="6">
        <v>0</v>
      </c>
      <c r="K18" s="40"/>
      <c r="L18" s="7">
        <f t="shared" si="5"/>
        <v>0</v>
      </c>
      <c r="M18" s="12">
        <f t="shared" si="6"/>
        <v>0</v>
      </c>
      <c r="N18" s="12">
        <v>0</v>
      </c>
      <c r="O18" s="12">
        <v>0</v>
      </c>
      <c r="P18" s="12">
        <v>0</v>
      </c>
      <c r="Q18" s="16"/>
      <c r="R18" s="16"/>
      <c r="S18" s="34"/>
      <c r="T18" s="9"/>
      <c r="AA18" s="19"/>
      <c r="AB18" s="19"/>
      <c r="AC18" s="19"/>
    </row>
    <row r="19" spans="2:29" ht="40.200000000000003" customHeight="1" x14ac:dyDescent="0.4">
      <c r="B19" s="38"/>
      <c r="C19" s="3"/>
      <c r="D19" s="11"/>
      <c r="E19" s="40" t="s">
        <v>16</v>
      </c>
      <c r="F19" s="13">
        <f t="shared" si="1"/>
        <v>0</v>
      </c>
      <c r="G19" s="79"/>
      <c r="H19" s="79" t="str">
        <f t="shared" si="2"/>
        <v/>
      </c>
      <c r="I19" s="15" t="str">
        <f t="shared" si="3"/>
        <v/>
      </c>
      <c r="J19" s="6">
        <v>0</v>
      </c>
      <c r="K19" s="40"/>
      <c r="L19" s="7">
        <f t="shared" si="5"/>
        <v>0</v>
      </c>
      <c r="M19" s="12">
        <f t="shared" si="6"/>
        <v>0</v>
      </c>
      <c r="N19" s="12">
        <v>0</v>
      </c>
      <c r="O19" s="12">
        <v>0</v>
      </c>
      <c r="P19" s="12">
        <v>0</v>
      </c>
      <c r="Q19" s="16"/>
      <c r="R19" s="16"/>
      <c r="S19" s="34"/>
      <c r="T19" s="9"/>
      <c r="AA19" s="19"/>
      <c r="AB19" s="19"/>
      <c r="AC19" s="19"/>
    </row>
    <row r="20" spans="2:29" ht="40.200000000000003" customHeight="1" x14ac:dyDescent="0.4">
      <c r="B20" s="38"/>
      <c r="C20" s="3"/>
      <c r="D20" s="11"/>
      <c r="E20" s="40" t="s">
        <v>16</v>
      </c>
      <c r="F20" s="13">
        <f t="shared" si="1"/>
        <v>0</v>
      </c>
      <c r="G20" s="79"/>
      <c r="H20" s="79" t="str">
        <f t="shared" ref="H20:H22" si="9">IF(G20="","",(G20))</f>
        <v/>
      </c>
      <c r="I20" s="15" t="str">
        <f t="shared" si="3"/>
        <v/>
      </c>
      <c r="J20" s="6">
        <v>0</v>
      </c>
      <c r="K20" s="40"/>
      <c r="L20" s="7">
        <f t="shared" si="5"/>
        <v>0</v>
      </c>
      <c r="M20" s="12">
        <f t="shared" ref="M20:M22" si="10">G20</f>
        <v>0</v>
      </c>
      <c r="N20" s="12">
        <v>0</v>
      </c>
      <c r="O20" s="12">
        <v>0</v>
      </c>
      <c r="P20" s="12">
        <v>0</v>
      </c>
      <c r="Q20" s="16"/>
      <c r="R20" s="16"/>
      <c r="S20" s="34"/>
      <c r="T20" s="9"/>
      <c r="AA20" s="19"/>
      <c r="AB20" s="19"/>
      <c r="AC20" s="19"/>
    </row>
    <row r="21" spans="2:29" ht="40.200000000000003" customHeight="1" x14ac:dyDescent="0.4">
      <c r="B21" s="38"/>
      <c r="C21" s="3"/>
      <c r="D21" s="11"/>
      <c r="E21" s="40" t="s">
        <v>16</v>
      </c>
      <c r="F21" s="13">
        <f t="shared" si="1"/>
        <v>0</v>
      </c>
      <c r="G21" s="80"/>
      <c r="H21" s="79" t="str">
        <f t="shared" si="9"/>
        <v/>
      </c>
      <c r="I21" s="15" t="str">
        <f t="shared" si="3"/>
        <v/>
      </c>
      <c r="J21" s="6">
        <v>0</v>
      </c>
      <c r="K21" s="40"/>
      <c r="L21" s="7">
        <f t="shared" si="5"/>
        <v>0</v>
      </c>
      <c r="M21" s="12">
        <f t="shared" si="10"/>
        <v>0</v>
      </c>
      <c r="N21" s="12">
        <v>0</v>
      </c>
      <c r="O21" s="12">
        <v>0</v>
      </c>
      <c r="P21" s="12">
        <v>0</v>
      </c>
      <c r="Q21" s="16"/>
      <c r="R21" s="16"/>
      <c r="S21" s="34"/>
      <c r="T21" s="9"/>
      <c r="AA21" s="19"/>
      <c r="AB21" s="19"/>
      <c r="AC21" s="19"/>
    </row>
    <row r="22" spans="2:29" ht="40.200000000000003" customHeight="1" x14ac:dyDescent="0.4">
      <c r="B22" s="38"/>
      <c r="C22" s="3"/>
      <c r="D22" s="11"/>
      <c r="E22" s="40" t="s">
        <v>16</v>
      </c>
      <c r="F22" s="13">
        <f t="shared" si="1"/>
        <v>0</v>
      </c>
      <c r="G22" s="80"/>
      <c r="H22" s="79" t="str">
        <f t="shared" si="9"/>
        <v/>
      </c>
      <c r="I22" s="15" t="str">
        <f t="shared" si="3"/>
        <v/>
      </c>
      <c r="J22" s="6">
        <v>0</v>
      </c>
      <c r="K22" s="40"/>
      <c r="L22" s="7">
        <f t="shared" si="5"/>
        <v>0</v>
      </c>
      <c r="M22" s="12">
        <f t="shared" si="10"/>
        <v>0</v>
      </c>
      <c r="N22" s="12">
        <v>0</v>
      </c>
      <c r="O22" s="12">
        <v>0</v>
      </c>
      <c r="P22" s="12">
        <v>0</v>
      </c>
      <c r="Q22" s="16"/>
      <c r="R22" s="16"/>
      <c r="S22" s="34"/>
      <c r="T22" s="9"/>
      <c r="AA22" s="18"/>
      <c r="AB22" s="18"/>
      <c r="AC22" s="18"/>
    </row>
    <row r="23" spans="2:29" ht="40.200000000000003" customHeight="1" x14ac:dyDescent="0.4">
      <c r="B23" s="38"/>
      <c r="C23" s="3"/>
      <c r="D23" s="11"/>
      <c r="E23" s="40" t="s">
        <v>16</v>
      </c>
      <c r="F23" s="13">
        <f t="shared" si="1"/>
        <v>0</v>
      </c>
      <c r="G23" s="80"/>
      <c r="H23" s="79" t="str">
        <f t="shared" ref="H23" si="11">IF(G23="","",(G23))</f>
        <v/>
      </c>
      <c r="I23" s="15" t="str">
        <f t="shared" si="3"/>
        <v/>
      </c>
      <c r="J23" s="6">
        <v>0</v>
      </c>
      <c r="K23" s="40"/>
      <c r="L23" s="7">
        <f t="shared" si="5"/>
        <v>0</v>
      </c>
      <c r="M23" s="12">
        <f t="shared" si="6"/>
        <v>0</v>
      </c>
      <c r="N23" s="12">
        <v>0</v>
      </c>
      <c r="O23" s="12">
        <v>0</v>
      </c>
      <c r="P23" s="12">
        <v>0</v>
      </c>
      <c r="Q23" s="16"/>
      <c r="R23" s="16"/>
      <c r="S23" s="34"/>
      <c r="T23" s="9"/>
      <c r="AA23" s="18"/>
      <c r="AB23" s="18"/>
      <c r="AC23" s="18"/>
    </row>
    <row r="24" spans="2:29" ht="40.200000000000003" customHeight="1" x14ac:dyDescent="0.4">
      <c r="B24" s="38"/>
      <c r="C24" s="3"/>
      <c r="D24" s="11"/>
      <c r="E24" s="40" t="s">
        <v>16</v>
      </c>
      <c r="F24" s="13">
        <f t="shared" si="1"/>
        <v>0</v>
      </c>
      <c r="G24" s="81"/>
      <c r="H24" s="79" t="str">
        <f t="shared" ref="H24:H32" si="12">IF(G24="","",(G24))</f>
        <v/>
      </c>
      <c r="I24" s="15" t="str">
        <f t="shared" si="3"/>
        <v/>
      </c>
      <c r="L24" s="7">
        <f t="shared" si="5"/>
        <v>0</v>
      </c>
      <c r="M24" s="12">
        <f t="shared" si="6"/>
        <v>0</v>
      </c>
      <c r="N24" s="12">
        <v>0</v>
      </c>
      <c r="O24" s="12">
        <v>0</v>
      </c>
      <c r="P24" s="12">
        <v>0</v>
      </c>
      <c r="Q24" s="16"/>
      <c r="R24" s="16"/>
    </row>
    <row r="25" spans="2:29" ht="40.200000000000003" customHeight="1" x14ac:dyDescent="0.4">
      <c r="B25" s="38"/>
      <c r="C25" s="3"/>
      <c r="D25" s="11"/>
      <c r="E25" s="40" t="s">
        <v>16</v>
      </c>
      <c r="F25" s="13">
        <f t="shared" si="1"/>
        <v>0</v>
      </c>
      <c r="H25" s="79" t="str">
        <f t="shared" si="12"/>
        <v/>
      </c>
      <c r="I25" s="15" t="str">
        <f t="shared" si="3"/>
        <v/>
      </c>
      <c r="L25" s="7">
        <f t="shared" si="5"/>
        <v>0</v>
      </c>
      <c r="M25" s="12">
        <f t="shared" si="6"/>
        <v>0</v>
      </c>
      <c r="N25" s="12">
        <v>0</v>
      </c>
      <c r="O25" s="12">
        <v>0</v>
      </c>
      <c r="P25" s="12">
        <v>0</v>
      </c>
      <c r="Q25" s="16"/>
      <c r="R25" s="16"/>
    </row>
    <row r="26" spans="2:29" ht="40.200000000000003" customHeight="1" x14ac:dyDescent="0.4">
      <c r="B26" s="38"/>
      <c r="C26" s="3"/>
      <c r="D26" s="11"/>
      <c r="E26" s="40" t="s">
        <v>16</v>
      </c>
      <c r="F26" s="13">
        <f t="shared" si="1"/>
        <v>0</v>
      </c>
      <c r="H26" s="79" t="str">
        <f t="shared" si="12"/>
        <v/>
      </c>
      <c r="I26" s="15" t="str">
        <f t="shared" si="3"/>
        <v/>
      </c>
      <c r="L26" s="7">
        <f t="shared" si="5"/>
        <v>0</v>
      </c>
      <c r="M26" s="12">
        <f t="shared" si="6"/>
        <v>0</v>
      </c>
      <c r="N26" s="12">
        <v>0</v>
      </c>
      <c r="O26" s="12">
        <v>0</v>
      </c>
      <c r="P26" s="12">
        <v>0</v>
      </c>
      <c r="Q26" s="16"/>
      <c r="R26" s="16"/>
    </row>
    <row r="27" spans="2:29" ht="40.200000000000003" customHeight="1" x14ac:dyDescent="0.4">
      <c r="B27" s="38"/>
      <c r="C27" s="3"/>
      <c r="D27" s="11"/>
      <c r="E27" s="40" t="s">
        <v>16</v>
      </c>
      <c r="F27" s="13">
        <f t="shared" si="1"/>
        <v>0</v>
      </c>
      <c r="H27" s="79" t="str">
        <f t="shared" si="12"/>
        <v/>
      </c>
      <c r="I27" s="15" t="str">
        <f t="shared" si="3"/>
        <v/>
      </c>
      <c r="L27" s="7">
        <f t="shared" si="5"/>
        <v>0</v>
      </c>
      <c r="M27" s="12">
        <f t="shared" si="6"/>
        <v>0</v>
      </c>
      <c r="N27" s="12">
        <v>0</v>
      </c>
      <c r="O27" s="12">
        <v>0</v>
      </c>
      <c r="P27" s="12">
        <v>0</v>
      </c>
      <c r="Q27" s="16"/>
      <c r="R27" s="16"/>
    </row>
    <row r="28" spans="2:29" ht="40.200000000000003" customHeight="1" x14ac:dyDescent="0.4">
      <c r="B28" s="38"/>
      <c r="C28" s="3"/>
      <c r="D28" s="11"/>
      <c r="E28" s="40" t="s">
        <v>16</v>
      </c>
      <c r="F28" s="13">
        <f t="shared" si="1"/>
        <v>0</v>
      </c>
      <c r="H28" s="79" t="str">
        <f t="shared" si="12"/>
        <v/>
      </c>
      <c r="I28" s="15" t="str">
        <f t="shared" si="3"/>
        <v/>
      </c>
      <c r="L28" s="7">
        <f t="shared" ref="L28:L32" si="13">C28</f>
        <v>0</v>
      </c>
      <c r="M28" s="12">
        <f t="shared" ref="M28:M32" si="14">G28</f>
        <v>0</v>
      </c>
      <c r="N28" s="12">
        <v>0</v>
      </c>
      <c r="O28" s="12">
        <v>0</v>
      </c>
      <c r="P28" s="12">
        <v>0</v>
      </c>
      <c r="Q28" s="16"/>
      <c r="R28" s="16"/>
    </row>
    <row r="29" spans="2:29" ht="40.200000000000003" customHeight="1" x14ac:dyDescent="0.4">
      <c r="B29" s="38"/>
      <c r="C29" s="3"/>
      <c r="D29" s="11"/>
      <c r="E29" s="40" t="s">
        <v>16</v>
      </c>
      <c r="F29" s="13">
        <f t="shared" si="1"/>
        <v>0</v>
      </c>
      <c r="H29" s="79" t="str">
        <f t="shared" si="12"/>
        <v/>
      </c>
      <c r="I29" s="15" t="str">
        <f t="shared" si="3"/>
        <v/>
      </c>
      <c r="L29" s="7">
        <f t="shared" si="13"/>
        <v>0</v>
      </c>
      <c r="M29" s="12">
        <f t="shared" si="14"/>
        <v>0</v>
      </c>
      <c r="N29" s="12">
        <v>0</v>
      </c>
      <c r="O29" s="12">
        <v>0</v>
      </c>
      <c r="P29" s="12">
        <v>0</v>
      </c>
      <c r="Q29" s="16"/>
      <c r="R29" s="16"/>
    </row>
    <row r="30" spans="2:29" ht="40.200000000000003" customHeight="1" x14ac:dyDescent="0.4">
      <c r="B30" s="38"/>
      <c r="C30" s="3"/>
      <c r="D30" s="11"/>
      <c r="E30" s="40" t="s">
        <v>16</v>
      </c>
      <c r="F30" s="13">
        <f t="shared" si="1"/>
        <v>0</v>
      </c>
      <c r="H30" s="79" t="str">
        <f t="shared" si="12"/>
        <v/>
      </c>
      <c r="I30" s="15" t="str">
        <f t="shared" si="3"/>
        <v/>
      </c>
      <c r="L30" s="7">
        <f t="shared" si="13"/>
        <v>0</v>
      </c>
      <c r="M30" s="12">
        <f t="shared" si="14"/>
        <v>0</v>
      </c>
      <c r="N30" s="12">
        <v>0</v>
      </c>
      <c r="O30" s="12">
        <v>0</v>
      </c>
      <c r="P30" s="12">
        <v>0</v>
      </c>
      <c r="Q30" s="16"/>
      <c r="R30" s="16"/>
    </row>
    <row r="31" spans="2:29" ht="40.200000000000003" customHeight="1" x14ac:dyDescent="0.4">
      <c r="B31" s="38"/>
      <c r="C31" s="3"/>
      <c r="D31" s="11"/>
      <c r="E31" s="40" t="s">
        <v>16</v>
      </c>
      <c r="F31" s="13">
        <f t="shared" si="1"/>
        <v>0</v>
      </c>
      <c r="H31" s="79" t="str">
        <f t="shared" si="12"/>
        <v/>
      </c>
      <c r="I31" s="15" t="str">
        <f t="shared" si="3"/>
        <v/>
      </c>
      <c r="L31" s="7">
        <f t="shared" si="13"/>
        <v>0</v>
      </c>
      <c r="M31" s="12">
        <f t="shared" si="14"/>
        <v>0</v>
      </c>
      <c r="N31" s="12">
        <v>0</v>
      </c>
      <c r="O31" s="12">
        <v>0</v>
      </c>
      <c r="P31" s="12">
        <v>0</v>
      </c>
      <c r="Q31" s="16"/>
      <c r="R31" s="16"/>
    </row>
    <row r="32" spans="2:29" ht="40.200000000000003" customHeight="1" x14ac:dyDescent="0.4">
      <c r="B32" s="38"/>
      <c r="C32" s="3"/>
      <c r="D32" s="11"/>
      <c r="E32" s="40" t="s">
        <v>16</v>
      </c>
      <c r="F32" s="13">
        <f t="shared" si="1"/>
        <v>0</v>
      </c>
      <c r="H32" s="79" t="str">
        <f t="shared" si="12"/>
        <v/>
      </c>
      <c r="I32" s="15" t="str">
        <f t="shared" si="3"/>
        <v/>
      </c>
      <c r="L32" s="7">
        <f t="shared" si="13"/>
        <v>0</v>
      </c>
      <c r="M32" s="12">
        <f t="shared" si="14"/>
        <v>0</v>
      </c>
      <c r="N32" s="12">
        <v>0</v>
      </c>
      <c r="O32" s="12">
        <v>0</v>
      </c>
      <c r="P32" s="12">
        <v>0</v>
      </c>
      <c r="Q32" s="16"/>
      <c r="R32" s="16"/>
    </row>
    <row r="33" spans="2:18" ht="40.200000000000003" customHeight="1" x14ac:dyDescent="0.4">
      <c r="B33" s="38"/>
      <c r="C33" s="3"/>
      <c r="D33" s="11"/>
      <c r="E33" s="40" t="s">
        <v>16</v>
      </c>
      <c r="F33" s="13">
        <f t="shared" si="1"/>
        <v>0</v>
      </c>
      <c r="H33" s="79" t="str">
        <f t="shared" ref="H33:H36" si="15">IF(G33="","",(G33))</f>
        <v/>
      </c>
      <c r="I33" s="15" t="str">
        <f t="shared" si="3"/>
        <v/>
      </c>
      <c r="L33" s="7">
        <f t="shared" ref="L33:L36" si="16">C33</f>
        <v>0</v>
      </c>
      <c r="M33" s="12">
        <f t="shared" ref="M33:M36" si="17">G33</f>
        <v>0</v>
      </c>
      <c r="N33" s="12">
        <v>0</v>
      </c>
      <c r="O33" s="12">
        <v>0</v>
      </c>
      <c r="P33" s="12">
        <v>0</v>
      </c>
      <c r="Q33" s="16"/>
      <c r="R33" s="16"/>
    </row>
    <row r="34" spans="2:18" ht="40.200000000000003" customHeight="1" x14ac:dyDescent="0.4">
      <c r="B34" s="38"/>
      <c r="C34" s="3"/>
      <c r="D34" s="11"/>
      <c r="E34" s="40" t="s">
        <v>16</v>
      </c>
      <c r="F34" s="13">
        <f t="shared" si="1"/>
        <v>0</v>
      </c>
      <c r="H34" s="79" t="str">
        <f t="shared" si="15"/>
        <v/>
      </c>
      <c r="I34" s="15" t="str">
        <f t="shared" si="3"/>
        <v/>
      </c>
      <c r="L34" s="7">
        <f t="shared" si="16"/>
        <v>0</v>
      </c>
      <c r="M34" s="12">
        <f t="shared" si="17"/>
        <v>0</v>
      </c>
      <c r="N34" s="12">
        <v>0</v>
      </c>
      <c r="O34" s="12">
        <v>0</v>
      </c>
      <c r="P34" s="12">
        <v>0</v>
      </c>
      <c r="Q34" s="16"/>
      <c r="R34" s="16"/>
    </row>
    <row r="35" spans="2:18" ht="40.200000000000003" customHeight="1" x14ac:dyDescent="0.4">
      <c r="B35" s="38"/>
      <c r="C35" s="3"/>
      <c r="D35" s="11"/>
      <c r="E35" s="40" t="s">
        <v>16</v>
      </c>
      <c r="F35" s="13">
        <f t="shared" si="1"/>
        <v>0</v>
      </c>
      <c r="H35" s="79" t="str">
        <f t="shared" si="15"/>
        <v/>
      </c>
      <c r="I35" s="15" t="str">
        <f t="shared" si="3"/>
        <v/>
      </c>
      <c r="L35" s="7">
        <f t="shared" si="16"/>
        <v>0</v>
      </c>
      <c r="M35" s="12">
        <f t="shared" si="17"/>
        <v>0</v>
      </c>
      <c r="N35" s="12">
        <v>0</v>
      </c>
      <c r="O35" s="12">
        <v>0</v>
      </c>
      <c r="P35" s="12">
        <v>0</v>
      </c>
      <c r="Q35" s="16"/>
      <c r="R35" s="16"/>
    </row>
    <row r="36" spans="2:18" ht="40.200000000000003" customHeight="1" x14ac:dyDescent="0.4">
      <c r="B36" s="38"/>
      <c r="C36" s="3"/>
      <c r="D36" s="11"/>
      <c r="E36" s="40" t="s">
        <v>16</v>
      </c>
      <c r="F36" s="13">
        <f t="shared" si="1"/>
        <v>0</v>
      </c>
      <c r="H36" s="79" t="str">
        <f t="shared" si="15"/>
        <v/>
      </c>
      <c r="I36" s="15" t="str">
        <f t="shared" si="3"/>
        <v/>
      </c>
      <c r="L36" s="7">
        <f t="shared" si="16"/>
        <v>0</v>
      </c>
      <c r="M36" s="12">
        <f t="shared" si="17"/>
        <v>0</v>
      </c>
      <c r="N36" s="12">
        <v>0</v>
      </c>
      <c r="O36" s="12">
        <v>0</v>
      </c>
      <c r="P36" s="12">
        <v>0</v>
      </c>
      <c r="Q36" s="16"/>
      <c r="R36" s="16"/>
    </row>
    <row r="37" spans="2:18" ht="40.200000000000003" customHeight="1" x14ac:dyDescent="0.4">
      <c r="B37" s="38"/>
      <c r="C37" s="3"/>
      <c r="D37" s="11"/>
      <c r="E37" s="40" t="s">
        <v>16</v>
      </c>
      <c r="F37" s="13">
        <f t="shared" si="1"/>
        <v>0</v>
      </c>
      <c r="H37" s="79" t="str">
        <f t="shared" ref="H37:H49" si="18">IF(G37="","",(G37))</f>
        <v/>
      </c>
      <c r="I37" s="15" t="str">
        <f t="shared" si="3"/>
        <v/>
      </c>
      <c r="L37" s="7">
        <f t="shared" ref="L37:L40" si="19">C37</f>
        <v>0</v>
      </c>
      <c r="M37" s="12">
        <f t="shared" ref="M37:M40" si="20">G37</f>
        <v>0</v>
      </c>
      <c r="N37" s="12">
        <v>0</v>
      </c>
      <c r="O37" s="12">
        <v>0</v>
      </c>
      <c r="P37" s="12">
        <v>0</v>
      </c>
      <c r="Q37" s="16"/>
      <c r="R37" s="16"/>
    </row>
    <row r="38" spans="2:18" ht="40.200000000000003" customHeight="1" x14ac:dyDescent="0.4">
      <c r="B38" s="38"/>
      <c r="C38" s="3"/>
      <c r="D38" s="11"/>
      <c r="E38" s="40" t="s">
        <v>16</v>
      </c>
      <c r="F38" s="13">
        <f t="shared" si="1"/>
        <v>0</v>
      </c>
      <c r="H38" s="79" t="str">
        <f t="shared" si="18"/>
        <v/>
      </c>
      <c r="I38" s="15" t="str">
        <f t="shared" si="3"/>
        <v/>
      </c>
      <c r="L38" s="7">
        <f t="shared" si="19"/>
        <v>0</v>
      </c>
      <c r="M38" s="12">
        <f t="shared" si="20"/>
        <v>0</v>
      </c>
      <c r="N38" s="12">
        <v>0</v>
      </c>
      <c r="O38" s="12">
        <v>0</v>
      </c>
      <c r="P38" s="12">
        <v>0</v>
      </c>
      <c r="Q38" s="16"/>
      <c r="R38" s="16"/>
    </row>
    <row r="39" spans="2:18" ht="40.200000000000003" customHeight="1" x14ac:dyDescent="0.4">
      <c r="B39" s="38"/>
      <c r="C39" s="3"/>
      <c r="D39" s="11"/>
      <c r="E39" s="40" t="s">
        <v>16</v>
      </c>
      <c r="F39" s="13">
        <f t="shared" si="1"/>
        <v>0</v>
      </c>
      <c r="H39" s="79" t="str">
        <f t="shared" si="18"/>
        <v/>
      </c>
      <c r="I39" s="15" t="str">
        <f t="shared" si="3"/>
        <v/>
      </c>
      <c r="L39" s="7">
        <f t="shared" si="19"/>
        <v>0</v>
      </c>
      <c r="M39" s="12">
        <f t="shared" si="20"/>
        <v>0</v>
      </c>
      <c r="N39" s="12">
        <v>0</v>
      </c>
      <c r="O39" s="12">
        <v>0</v>
      </c>
      <c r="P39" s="12">
        <v>0</v>
      </c>
      <c r="Q39" s="16"/>
      <c r="R39" s="16"/>
    </row>
    <row r="40" spans="2:18" ht="40.200000000000003" customHeight="1" x14ac:dyDescent="0.4">
      <c r="B40" s="38"/>
      <c r="C40" s="3"/>
      <c r="D40" s="11"/>
      <c r="E40" s="40" t="s">
        <v>16</v>
      </c>
      <c r="F40" s="13">
        <f t="shared" si="1"/>
        <v>0</v>
      </c>
      <c r="H40" s="79" t="str">
        <f t="shared" si="18"/>
        <v/>
      </c>
      <c r="I40" s="15" t="str">
        <f t="shared" si="3"/>
        <v/>
      </c>
      <c r="L40" s="7">
        <f t="shared" si="19"/>
        <v>0</v>
      </c>
      <c r="M40" s="12">
        <f t="shared" si="20"/>
        <v>0</v>
      </c>
      <c r="N40" s="12">
        <v>0</v>
      </c>
      <c r="O40" s="12">
        <v>0</v>
      </c>
      <c r="P40" s="12">
        <v>0</v>
      </c>
      <c r="Q40" s="16"/>
      <c r="R40" s="16"/>
    </row>
    <row r="41" spans="2:18" ht="40.200000000000003" customHeight="1" x14ac:dyDescent="0.4">
      <c r="B41" s="38"/>
      <c r="C41" s="3"/>
      <c r="D41" s="11"/>
      <c r="E41" s="40" t="s">
        <v>16</v>
      </c>
      <c r="F41" s="13">
        <f t="shared" si="1"/>
        <v>0</v>
      </c>
      <c r="H41" s="79" t="str">
        <f t="shared" si="18"/>
        <v/>
      </c>
      <c r="I41" s="15" t="str">
        <f t="shared" si="3"/>
        <v/>
      </c>
      <c r="L41" s="7">
        <f t="shared" ref="L41:L49" si="21">C41</f>
        <v>0</v>
      </c>
      <c r="M41" s="12">
        <f t="shared" ref="M41:M49" si="22">G41</f>
        <v>0</v>
      </c>
      <c r="N41" s="12">
        <v>0</v>
      </c>
      <c r="O41" s="12">
        <v>0</v>
      </c>
      <c r="P41" s="12">
        <v>0</v>
      </c>
      <c r="Q41" s="16"/>
      <c r="R41" s="16"/>
    </row>
    <row r="42" spans="2:18" ht="40.200000000000003" customHeight="1" x14ac:dyDescent="0.4">
      <c r="B42" s="38"/>
      <c r="C42" s="3"/>
      <c r="D42" s="11"/>
      <c r="E42" s="40" t="s">
        <v>16</v>
      </c>
      <c r="F42" s="13">
        <f t="shared" si="1"/>
        <v>0</v>
      </c>
      <c r="H42" s="79" t="str">
        <f t="shared" si="18"/>
        <v/>
      </c>
      <c r="I42" s="15" t="str">
        <f t="shared" si="3"/>
        <v/>
      </c>
      <c r="L42" s="7">
        <f t="shared" si="21"/>
        <v>0</v>
      </c>
      <c r="M42" s="12">
        <f t="shared" si="22"/>
        <v>0</v>
      </c>
      <c r="N42" s="12">
        <v>0</v>
      </c>
      <c r="O42" s="12">
        <v>0</v>
      </c>
      <c r="P42" s="12">
        <v>0</v>
      </c>
      <c r="Q42" s="16"/>
      <c r="R42" s="16"/>
    </row>
    <row r="43" spans="2:18" ht="40.200000000000003" customHeight="1" x14ac:dyDescent="0.4">
      <c r="B43" s="38"/>
      <c r="C43" s="3"/>
      <c r="D43" s="11"/>
      <c r="E43" s="40" t="s">
        <v>16</v>
      </c>
      <c r="F43" s="13">
        <f t="shared" si="1"/>
        <v>0</v>
      </c>
      <c r="H43" s="79" t="str">
        <f t="shared" si="18"/>
        <v/>
      </c>
      <c r="I43" s="15" t="str">
        <f t="shared" si="3"/>
        <v/>
      </c>
      <c r="L43" s="7">
        <f t="shared" si="21"/>
        <v>0</v>
      </c>
      <c r="M43" s="12">
        <f t="shared" si="22"/>
        <v>0</v>
      </c>
      <c r="N43" s="12">
        <v>0</v>
      </c>
      <c r="O43" s="12">
        <v>0</v>
      </c>
      <c r="P43" s="12">
        <v>0</v>
      </c>
      <c r="Q43" s="16"/>
      <c r="R43" s="16"/>
    </row>
    <row r="44" spans="2:18" ht="40.200000000000003" customHeight="1" x14ac:dyDescent="0.4">
      <c r="B44" s="38"/>
      <c r="C44" s="3"/>
      <c r="D44" s="11"/>
      <c r="E44" s="40" t="s">
        <v>16</v>
      </c>
      <c r="F44" s="13">
        <f t="shared" si="1"/>
        <v>0</v>
      </c>
      <c r="H44" s="79" t="str">
        <f t="shared" si="18"/>
        <v/>
      </c>
      <c r="I44" s="15" t="str">
        <f t="shared" si="3"/>
        <v/>
      </c>
      <c r="L44" s="7">
        <f t="shared" si="21"/>
        <v>0</v>
      </c>
      <c r="M44" s="12">
        <f t="shared" si="22"/>
        <v>0</v>
      </c>
      <c r="N44" s="12">
        <v>0</v>
      </c>
      <c r="O44" s="12">
        <v>0</v>
      </c>
      <c r="P44" s="12">
        <v>0</v>
      </c>
      <c r="Q44" s="16"/>
      <c r="R44" s="16"/>
    </row>
    <row r="45" spans="2:18" ht="40.200000000000003" customHeight="1" x14ac:dyDescent="0.4">
      <c r="B45" s="38"/>
      <c r="C45" s="3"/>
      <c r="D45" s="11"/>
      <c r="E45" s="40" t="s">
        <v>16</v>
      </c>
      <c r="F45" s="13">
        <f t="shared" si="1"/>
        <v>0</v>
      </c>
      <c r="H45" s="79" t="str">
        <f t="shared" si="18"/>
        <v/>
      </c>
      <c r="I45" s="15" t="str">
        <f t="shared" si="3"/>
        <v/>
      </c>
      <c r="L45" s="7">
        <f t="shared" si="21"/>
        <v>0</v>
      </c>
      <c r="M45" s="12">
        <f t="shared" si="22"/>
        <v>0</v>
      </c>
      <c r="N45" s="12">
        <v>0</v>
      </c>
      <c r="O45" s="12">
        <v>0</v>
      </c>
      <c r="P45" s="12">
        <v>0</v>
      </c>
      <c r="Q45" s="16"/>
      <c r="R45" s="16"/>
    </row>
    <row r="46" spans="2:18" ht="40.200000000000003" customHeight="1" x14ac:dyDescent="0.4">
      <c r="B46" s="38"/>
      <c r="C46" s="3"/>
      <c r="D46" s="11"/>
      <c r="E46" s="40" t="s">
        <v>16</v>
      </c>
      <c r="F46" s="13">
        <f t="shared" si="1"/>
        <v>0</v>
      </c>
      <c r="H46" s="76" t="str">
        <f t="shared" si="18"/>
        <v/>
      </c>
      <c r="I46" s="15" t="str">
        <f t="shared" si="3"/>
        <v/>
      </c>
      <c r="L46" s="7">
        <f t="shared" si="21"/>
        <v>0</v>
      </c>
      <c r="M46" s="24">
        <f t="shared" si="22"/>
        <v>0</v>
      </c>
      <c r="N46" s="12">
        <v>0</v>
      </c>
      <c r="O46" s="12">
        <v>0</v>
      </c>
      <c r="P46" s="12">
        <v>0</v>
      </c>
      <c r="Q46" s="16"/>
      <c r="R46" s="16"/>
    </row>
    <row r="47" spans="2:18" ht="40.200000000000003" customHeight="1" x14ac:dyDescent="0.4">
      <c r="B47" s="38"/>
      <c r="C47" s="3"/>
      <c r="D47" s="11"/>
      <c r="E47" s="40" t="s">
        <v>16</v>
      </c>
      <c r="F47" s="13">
        <f t="shared" si="1"/>
        <v>0</v>
      </c>
      <c r="H47" s="76" t="str">
        <f t="shared" si="18"/>
        <v/>
      </c>
      <c r="I47" s="15" t="str">
        <f t="shared" si="3"/>
        <v/>
      </c>
      <c r="L47" s="7">
        <f t="shared" si="21"/>
        <v>0</v>
      </c>
      <c r="M47" s="24">
        <f t="shared" si="22"/>
        <v>0</v>
      </c>
      <c r="N47" s="12">
        <v>0</v>
      </c>
      <c r="O47" s="12">
        <v>0</v>
      </c>
      <c r="P47" s="12">
        <v>0</v>
      </c>
      <c r="Q47" s="16"/>
      <c r="R47" s="16"/>
    </row>
    <row r="48" spans="2:18" ht="40.200000000000003" customHeight="1" x14ac:dyDescent="0.4">
      <c r="B48" s="38"/>
      <c r="C48" s="3"/>
      <c r="D48" s="11"/>
      <c r="E48" s="40" t="s">
        <v>16</v>
      </c>
      <c r="F48" s="13">
        <f t="shared" si="1"/>
        <v>0</v>
      </c>
      <c r="H48" s="76" t="str">
        <f t="shared" si="18"/>
        <v/>
      </c>
      <c r="I48" s="15" t="str">
        <f t="shared" si="3"/>
        <v/>
      </c>
      <c r="L48" s="7">
        <f t="shared" si="21"/>
        <v>0</v>
      </c>
      <c r="M48" s="24">
        <f t="shared" si="22"/>
        <v>0</v>
      </c>
      <c r="N48" s="12">
        <v>0</v>
      </c>
      <c r="O48" s="12">
        <v>0</v>
      </c>
      <c r="P48" s="12">
        <v>0</v>
      </c>
      <c r="Q48" s="16"/>
      <c r="R48" s="16"/>
    </row>
    <row r="49" spans="2:18" ht="40.200000000000003" customHeight="1" x14ac:dyDescent="0.4">
      <c r="B49" s="38"/>
      <c r="C49" s="3"/>
      <c r="D49" s="11"/>
      <c r="E49" s="40" t="s">
        <v>16</v>
      </c>
      <c r="F49" s="13">
        <f t="shared" si="1"/>
        <v>0</v>
      </c>
      <c r="H49" s="76" t="str">
        <f t="shared" si="18"/>
        <v/>
      </c>
      <c r="I49" s="15" t="str">
        <f t="shared" si="3"/>
        <v/>
      </c>
      <c r="L49" s="7">
        <f t="shared" si="21"/>
        <v>0</v>
      </c>
      <c r="M49" s="24">
        <f t="shared" si="22"/>
        <v>0</v>
      </c>
      <c r="N49" s="12">
        <v>0</v>
      </c>
      <c r="O49" s="12">
        <v>0</v>
      </c>
      <c r="P49" s="12">
        <v>0</v>
      </c>
      <c r="Q49" s="16"/>
      <c r="R49" s="16"/>
    </row>
    <row r="50" spans="2:18" ht="40.200000000000003" customHeight="1" x14ac:dyDescent="0.4">
      <c r="B50" s="38"/>
      <c r="C50" s="3"/>
      <c r="D50" s="11"/>
      <c r="E50" s="40" t="s">
        <v>16</v>
      </c>
      <c r="F50" s="13">
        <f t="shared" si="1"/>
        <v>0</v>
      </c>
      <c r="H50" s="76" t="str">
        <f t="shared" ref="H50:H57" si="23">IF(G50="","",(G50))</f>
        <v/>
      </c>
      <c r="I50" s="15" t="str">
        <f t="shared" si="3"/>
        <v/>
      </c>
      <c r="L50" s="7">
        <f t="shared" ref="L50" si="24">C50</f>
        <v>0</v>
      </c>
      <c r="M50" s="24">
        <f t="shared" ref="M50" si="25">G50</f>
        <v>0</v>
      </c>
      <c r="N50" s="12">
        <v>0</v>
      </c>
      <c r="O50" s="12">
        <v>0</v>
      </c>
      <c r="P50" s="12">
        <v>0</v>
      </c>
      <c r="Q50" s="16"/>
      <c r="R50" s="16"/>
    </row>
    <row r="51" spans="2:18" ht="40.200000000000003" customHeight="1" x14ac:dyDescent="0.4">
      <c r="B51" s="38"/>
      <c r="C51" s="3"/>
      <c r="D51" s="11"/>
      <c r="E51" s="40" t="s">
        <v>16</v>
      </c>
      <c r="F51" s="13">
        <f t="shared" si="1"/>
        <v>0</v>
      </c>
      <c r="H51" s="76" t="str">
        <f t="shared" si="23"/>
        <v/>
      </c>
      <c r="I51" s="15" t="str">
        <f t="shared" si="3"/>
        <v/>
      </c>
      <c r="L51" s="7">
        <f t="shared" ref="L51:L54" si="26">C51</f>
        <v>0</v>
      </c>
      <c r="M51" s="24">
        <f t="shared" ref="M51:M54" si="27">G51</f>
        <v>0</v>
      </c>
      <c r="N51" s="12">
        <v>0</v>
      </c>
      <c r="O51" s="12">
        <v>0</v>
      </c>
      <c r="P51" s="12">
        <v>0</v>
      </c>
      <c r="Q51" s="16"/>
      <c r="R51" s="16"/>
    </row>
    <row r="52" spans="2:18" ht="40.200000000000003" customHeight="1" x14ac:dyDescent="0.4">
      <c r="B52" s="38"/>
      <c r="C52" s="3"/>
      <c r="D52" s="11"/>
      <c r="E52" s="40" t="s">
        <v>16</v>
      </c>
      <c r="F52" s="13">
        <f t="shared" si="1"/>
        <v>0</v>
      </c>
      <c r="H52" s="76" t="str">
        <f t="shared" si="23"/>
        <v/>
      </c>
      <c r="I52" s="15" t="str">
        <f t="shared" si="3"/>
        <v/>
      </c>
      <c r="L52" s="7">
        <f t="shared" si="26"/>
        <v>0</v>
      </c>
      <c r="M52" s="24">
        <f t="shared" si="27"/>
        <v>0</v>
      </c>
      <c r="N52" s="12">
        <v>0</v>
      </c>
      <c r="O52" s="12">
        <v>0</v>
      </c>
      <c r="P52" s="12">
        <v>0</v>
      </c>
      <c r="Q52" s="16"/>
      <c r="R52" s="16"/>
    </row>
    <row r="53" spans="2:18" ht="40.200000000000003" customHeight="1" x14ac:dyDescent="0.4">
      <c r="B53" s="38"/>
      <c r="C53" s="3"/>
      <c r="D53" s="11"/>
      <c r="E53" s="40" t="s">
        <v>16</v>
      </c>
      <c r="F53" s="13">
        <f t="shared" si="1"/>
        <v>0</v>
      </c>
      <c r="H53" s="76" t="str">
        <f t="shared" si="23"/>
        <v/>
      </c>
      <c r="I53" s="15" t="str">
        <f t="shared" si="3"/>
        <v/>
      </c>
      <c r="L53" s="7">
        <f t="shared" si="26"/>
        <v>0</v>
      </c>
      <c r="M53" s="24">
        <f t="shared" si="27"/>
        <v>0</v>
      </c>
      <c r="N53" s="12">
        <v>0</v>
      </c>
      <c r="O53" s="12">
        <v>0</v>
      </c>
      <c r="P53" s="12">
        <v>0</v>
      </c>
      <c r="Q53" s="16"/>
      <c r="R53" s="16"/>
    </row>
    <row r="54" spans="2:18" ht="40.200000000000003" customHeight="1" x14ac:dyDescent="0.4">
      <c r="B54" s="38"/>
      <c r="C54" s="3"/>
      <c r="D54" s="11"/>
      <c r="E54" s="40" t="s">
        <v>16</v>
      </c>
      <c r="F54" s="13">
        <f t="shared" si="1"/>
        <v>0</v>
      </c>
      <c r="H54" s="76" t="str">
        <f t="shared" si="23"/>
        <v/>
      </c>
      <c r="I54" s="15" t="str">
        <f t="shared" si="3"/>
        <v/>
      </c>
      <c r="L54" s="7">
        <f t="shared" si="26"/>
        <v>0</v>
      </c>
      <c r="M54" s="24">
        <f t="shared" si="27"/>
        <v>0</v>
      </c>
      <c r="N54" s="12">
        <v>0</v>
      </c>
      <c r="O54" s="12">
        <v>0</v>
      </c>
      <c r="P54" s="12">
        <v>0</v>
      </c>
      <c r="Q54" s="16"/>
      <c r="R54" s="16"/>
    </row>
    <row r="55" spans="2:18" ht="40.200000000000003" customHeight="1" x14ac:dyDescent="0.4">
      <c r="B55" s="38"/>
      <c r="C55" s="3"/>
      <c r="D55" s="11"/>
      <c r="E55" s="40" t="s">
        <v>16</v>
      </c>
      <c r="F55" s="13">
        <f t="shared" si="1"/>
        <v>0</v>
      </c>
      <c r="H55" s="76" t="str">
        <f t="shared" si="23"/>
        <v/>
      </c>
      <c r="I55" s="15" t="str">
        <f t="shared" si="3"/>
        <v/>
      </c>
      <c r="L55" s="7">
        <f t="shared" ref="L55:L57" si="28">C55</f>
        <v>0</v>
      </c>
      <c r="M55" s="24">
        <f t="shared" ref="M55:M57" si="29">G55</f>
        <v>0</v>
      </c>
      <c r="N55" s="12">
        <v>0</v>
      </c>
      <c r="O55" s="12">
        <v>0</v>
      </c>
      <c r="P55" s="12">
        <v>0</v>
      </c>
      <c r="Q55" s="16"/>
      <c r="R55" s="16"/>
    </row>
    <row r="56" spans="2:18" ht="40.200000000000003" customHeight="1" x14ac:dyDescent="0.4">
      <c r="B56" s="38"/>
      <c r="C56" s="3"/>
      <c r="D56" s="11"/>
      <c r="E56" s="40" t="s">
        <v>16</v>
      </c>
      <c r="F56" s="13">
        <f t="shared" si="1"/>
        <v>0</v>
      </c>
      <c r="H56" s="76" t="str">
        <f t="shared" si="23"/>
        <v/>
      </c>
      <c r="I56" s="15" t="str">
        <f t="shared" si="3"/>
        <v/>
      </c>
      <c r="L56" s="7">
        <f t="shared" si="28"/>
        <v>0</v>
      </c>
      <c r="M56" s="24">
        <f t="shared" si="29"/>
        <v>0</v>
      </c>
      <c r="N56" s="12">
        <v>0</v>
      </c>
      <c r="O56" s="12">
        <v>0</v>
      </c>
      <c r="P56" s="12">
        <v>0</v>
      </c>
      <c r="Q56" s="16"/>
      <c r="R56" s="16"/>
    </row>
    <row r="57" spans="2:18" ht="40.200000000000003" customHeight="1" x14ac:dyDescent="0.4">
      <c r="B57" s="38"/>
      <c r="C57" s="3"/>
      <c r="D57" s="11"/>
      <c r="E57" s="40" t="s">
        <v>16</v>
      </c>
      <c r="F57" s="13">
        <f t="shared" si="1"/>
        <v>0</v>
      </c>
      <c r="H57" s="76" t="str">
        <f t="shared" si="23"/>
        <v/>
      </c>
      <c r="I57" s="15" t="str">
        <f t="shared" si="3"/>
        <v/>
      </c>
      <c r="L57" s="7">
        <f t="shared" si="28"/>
        <v>0</v>
      </c>
      <c r="M57" s="24">
        <f t="shared" si="29"/>
        <v>0</v>
      </c>
      <c r="N57" s="12">
        <v>0</v>
      </c>
      <c r="O57" s="12">
        <v>0</v>
      </c>
      <c r="P57" s="12">
        <v>0</v>
      </c>
      <c r="Q57" s="16"/>
      <c r="R57" s="16"/>
    </row>
    <row r="58" spans="2:18" ht="40.200000000000003" customHeight="1" x14ac:dyDescent="0.4">
      <c r="B58" s="38"/>
      <c r="C58" s="3"/>
      <c r="D58" s="11"/>
      <c r="E58" s="40" t="s">
        <v>16</v>
      </c>
      <c r="F58" s="13">
        <f t="shared" si="1"/>
        <v>0</v>
      </c>
      <c r="H58" s="76" t="str">
        <f t="shared" ref="H58:H59" si="30">IF(G58="","",(G58))</f>
        <v/>
      </c>
      <c r="I58" s="15" t="str">
        <f t="shared" si="3"/>
        <v/>
      </c>
      <c r="L58" s="7">
        <f t="shared" ref="L58:L59" si="31">C58</f>
        <v>0</v>
      </c>
      <c r="M58" s="24">
        <f t="shared" ref="M58:M59" si="32">G58</f>
        <v>0</v>
      </c>
      <c r="N58" s="12">
        <v>0</v>
      </c>
      <c r="O58" s="12">
        <v>0</v>
      </c>
      <c r="P58" s="12">
        <v>0</v>
      </c>
      <c r="Q58" s="16"/>
      <c r="R58" s="16"/>
    </row>
    <row r="59" spans="2:18" ht="40.200000000000003" customHeight="1" x14ac:dyDescent="0.4">
      <c r="B59" s="38"/>
      <c r="C59" s="3"/>
      <c r="D59" s="11"/>
      <c r="E59" s="40" t="s">
        <v>16</v>
      </c>
      <c r="F59" s="13">
        <f t="shared" si="1"/>
        <v>0</v>
      </c>
      <c r="H59" s="76" t="str">
        <f t="shared" si="30"/>
        <v/>
      </c>
      <c r="I59" s="15" t="str">
        <f t="shared" si="3"/>
        <v/>
      </c>
      <c r="L59" s="7">
        <f t="shared" si="31"/>
        <v>0</v>
      </c>
      <c r="M59" s="24">
        <f t="shared" si="32"/>
        <v>0</v>
      </c>
      <c r="N59" s="12">
        <v>0</v>
      </c>
      <c r="O59" s="12">
        <v>0</v>
      </c>
      <c r="P59" s="12">
        <v>0</v>
      </c>
      <c r="Q59" s="16"/>
      <c r="R59" s="16"/>
    </row>
    <row r="60" spans="2:18" ht="40.200000000000003" customHeight="1" x14ac:dyDescent="0.4">
      <c r="B60" s="38"/>
      <c r="C60" s="3"/>
      <c r="D60" s="11"/>
      <c r="E60" s="40" t="s">
        <v>16</v>
      </c>
      <c r="F60" s="13">
        <f t="shared" si="1"/>
        <v>0</v>
      </c>
      <c r="H60" s="76" t="str">
        <f t="shared" ref="H60:H63" si="33">IF(G60="","",(G60))</f>
        <v/>
      </c>
      <c r="I60" s="15" t="str">
        <f t="shared" si="3"/>
        <v/>
      </c>
      <c r="L60" s="7">
        <f t="shared" ref="L60:L63" si="34">C60</f>
        <v>0</v>
      </c>
      <c r="M60" s="24">
        <f t="shared" ref="M60:M63" si="35">G60</f>
        <v>0</v>
      </c>
      <c r="N60" s="12">
        <v>0</v>
      </c>
      <c r="O60" s="12">
        <v>0</v>
      </c>
      <c r="P60" s="12">
        <v>0</v>
      </c>
      <c r="Q60" s="16"/>
      <c r="R60" s="16"/>
    </row>
    <row r="61" spans="2:18" ht="40.200000000000003" customHeight="1" x14ac:dyDescent="0.4">
      <c r="B61" s="38"/>
      <c r="C61" s="3"/>
      <c r="D61" s="11"/>
      <c r="E61" s="40" t="s">
        <v>16</v>
      </c>
      <c r="F61" s="13">
        <f t="shared" si="1"/>
        <v>0</v>
      </c>
      <c r="H61" s="76" t="str">
        <f t="shared" si="33"/>
        <v/>
      </c>
      <c r="I61" s="15" t="str">
        <f t="shared" si="3"/>
        <v/>
      </c>
      <c r="L61" s="7">
        <f t="shared" si="34"/>
        <v>0</v>
      </c>
      <c r="M61" s="24">
        <f t="shared" si="35"/>
        <v>0</v>
      </c>
      <c r="N61" s="12">
        <v>0</v>
      </c>
      <c r="O61" s="12">
        <v>0</v>
      </c>
      <c r="P61" s="12">
        <v>0</v>
      </c>
      <c r="Q61" s="16"/>
      <c r="R61" s="16"/>
    </row>
    <row r="62" spans="2:18" ht="40.200000000000003" customHeight="1" x14ac:dyDescent="0.4">
      <c r="B62" s="38"/>
      <c r="C62" s="3"/>
      <c r="D62" s="11"/>
      <c r="E62" s="40" t="s">
        <v>16</v>
      </c>
      <c r="F62" s="13">
        <f t="shared" si="1"/>
        <v>0</v>
      </c>
      <c r="H62" s="76" t="str">
        <f t="shared" si="33"/>
        <v/>
      </c>
      <c r="I62" s="15" t="str">
        <f t="shared" si="3"/>
        <v/>
      </c>
      <c r="L62" s="7">
        <f t="shared" si="34"/>
        <v>0</v>
      </c>
      <c r="M62" s="24">
        <f t="shared" si="35"/>
        <v>0</v>
      </c>
      <c r="N62" s="12">
        <v>0</v>
      </c>
      <c r="O62" s="12">
        <v>0</v>
      </c>
      <c r="P62" s="12">
        <v>0</v>
      </c>
      <c r="Q62" s="16"/>
      <c r="R62" s="16"/>
    </row>
    <row r="63" spans="2:18" ht="40.200000000000003" customHeight="1" x14ac:dyDescent="0.4">
      <c r="B63" s="38"/>
      <c r="C63" s="3"/>
      <c r="D63" s="11"/>
      <c r="E63" s="40" t="s">
        <v>16</v>
      </c>
      <c r="F63" s="13">
        <f t="shared" si="1"/>
        <v>0</v>
      </c>
      <c r="H63" s="76" t="str">
        <f t="shared" si="33"/>
        <v/>
      </c>
      <c r="I63" s="15" t="str">
        <f t="shared" si="3"/>
        <v/>
      </c>
      <c r="L63" s="7">
        <f t="shared" si="34"/>
        <v>0</v>
      </c>
      <c r="M63" s="24">
        <f t="shared" si="35"/>
        <v>0</v>
      </c>
      <c r="N63" s="12">
        <v>0</v>
      </c>
      <c r="O63" s="12">
        <v>0</v>
      </c>
      <c r="P63" s="12">
        <v>0</v>
      </c>
      <c r="Q63" s="16"/>
      <c r="R63" s="16"/>
    </row>
    <row r="64" spans="2:18" ht="40.200000000000003" customHeight="1" x14ac:dyDescent="0.4">
      <c r="B64" s="38"/>
      <c r="C64" s="3"/>
      <c r="D64" s="11"/>
      <c r="E64" s="40" t="s">
        <v>16</v>
      </c>
      <c r="F64" s="13">
        <f t="shared" si="1"/>
        <v>0</v>
      </c>
      <c r="H64" s="76" t="str">
        <f t="shared" ref="H64:H68" si="36">IF(G64="","",(G64))</f>
        <v/>
      </c>
      <c r="I64" s="15" t="str">
        <f t="shared" si="3"/>
        <v/>
      </c>
      <c r="L64" s="7">
        <f t="shared" ref="L64:L68" si="37">C64</f>
        <v>0</v>
      </c>
      <c r="M64" s="24">
        <f t="shared" ref="M64:M68" si="38">G64</f>
        <v>0</v>
      </c>
      <c r="N64" s="12">
        <v>0</v>
      </c>
      <c r="O64" s="12">
        <v>0</v>
      </c>
      <c r="P64" s="12">
        <v>0</v>
      </c>
      <c r="Q64" s="16"/>
      <c r="R64" s="16"/>
    </row>
    <row r="65" spans="2:18" ht="40.200000000000003" customHeight="1" x14ac:dyDescent="0.4">
      <c r="B65" s="38"/>
      <c r="C65" s="3"/>
      <c r="D65" s="11"/>
      <c r="E65" s="40" t="s">
        <v>16</v>
      </c>
      <c r="F65" s="13">
        <f t="shared" si="1"/>
        <v>0</v>
      </c>
      <c r="H65" s="76" t="str">
        <f t="shared" si="36"/>
        <v/>
      </c>
      <c r="I65" s="15" t="str">
        <f t="shared" si="3"/>
        <v/>
      </c>
      <c r="L65" s="7">
        <f t="shared" si="37"/>
        <v>0</v>
      </c>
      <c r="M65" s="24">
        <f t="shared" si="38"/>
        <v>0</v>
      </c>
      <c r="N65" s="12">
        <v>0</v>
      </c>
      <c r="O65" s="12">
        <v>0</v>
      </c>
      <c r="P65" s="12">
        <v>0</v>
      </c>
      <c r="Q65" s="16"/>
      <c r="R65" s="16"/>
    </row>
    <row r="66" spans="2:18" ht="40.200000000000003" customHeight="1" x14ac:dyDescent="0.4">
      <c r="B66" s="38"/>
      <c r="C66" s="3"/>
      <c r="D66" s="11"/>
      <c r="E66" s="40" t="s">
        <v>16</v>
      </c>
      <c r="F66" s="13">
        <f t="shared" si="1"/>
        <v>0</v>
      </c>
      <c r="H66" s="76" t="str">
        <f t="shared" si="36"/>
        <v/>
      </c>
      <c r="I66" s="15" t="str">
        <f t="shared" si="3"/>
        <v/>
      </c>
      <c r="L66" s="7">
        <f t="shared" si="37"/>
        <v>0</v>
      </c>
      <c r="M66" s="24">
        <f t="shared" si="38"/>
        <v>0</v>
      </c>
      <c r="N66" s="12">
        <v>0</v>
      </c>
      <c r="O66" s="12">
        <v>0</v>
      </c>
      <c r="P66" s="12">
        <v>0</v>
      </c>
      <c r="Q66" s="16"/>
      <c r="R66" s="16"/>
    </row>
    <row r="67" spans="2:18" ht="40.200000000000003" customHeight="1" x14ac:dyDescent="0.4">
      <c r="B67" s="38"/>
      <c r="C67" s="3"/>
      <c r="D67" s="11"/>
      <c r="E67" s="40" t="s">
        <v>16</v>
      </c>
      <c r="F67" s="13">
        <f t="shared" si="1"/>
        <v>0</v>
      </c>
      <c r="H67" s="76" t="str">
        <f t="shared" si="36"/>
        <v/>
      </c>
      <c r="I67" s="15" t="str">
        <f t="shared" si="3"/>
        <v/>
      </c>
      <c r="L67" s="7">
        <f t="shared" si="37"/>
        <v>0</v>
      </c>
      <c r="M67" s="24">
        <f t="shared" si="38"/>
        <v>0</v>
      </c>
      <c r="N67" s="12">
        <v>0</v>
      </c>
      <c r="O67" s="12">
        <v>0</v>
      </c>
      <c r="P67" s="12">
        <v>0</v>
      </c>
      <c r="Q67" s="16"/>
      <c r="R67" s="16"/>
    </row>
    <row r="68" spans="2:18" ht="40.200000000000003" customHeight="1" x14ac:dyDescent="0.4">
      <c r="B68" s="38"/>
      <c r="C68" s="3"/>
      <c r="D68" s="11"/>
      <c r="E68" s="40" t="s">
        <v>16</v>
      </c>
      <c r="F68" s="13">
        <f t="shared" si="1"/>
        <v>0</v>
      </c>
      <c r="H68" s="76" t="str">
        <f t="shared" si="36"/>
        <v/>
      </c>
      <c r="I68" s="15" t="str">
        <f t="shared" si="3"/>
        <v/>
      </c>
      <c r="L68" s="7">
        <f t="shared" si="37"/>
        <v>0</v>
      </c>
      <c r="M68" s="24">
        <f t="shared" si="38"/>
        <v>0</v>
      </c>
      <c r="N68" s="12">
        <v>0</v>
      </c>
      <c r="O68" s="12">
        <v>0</v>
      </c>
      <c r="P68" s="12">
        <v>0</v>
      </c>
      <c r="Q68" s="16"/>
      <c r="R68" s="16"/>
    </row>
    <row r="69" spans="2:18" ht="40.200000000000003" customHeight="1" x14ac:dyDescent="0.4">
      <c r="B69" s="38"/>
      <c r="C69" s="3"/>
      <c r="D69" s="11"/>
      <c r="E69" s="40" t="s">
        <v>16</v>
      </c>
      <c r="F69" s="13">
        <f t="shared" si="1"/>
        <v>0</v>
      </c>
      <c r="H69" s="76" t="str">
        <f t="shared" ref="H69:H87" si="39">IF(G69="","",(G69))</f>
        <v/>
      </c>
      <c r="I69" s="15" t="str">
        <f t="shared" si="3"/>
        <v/>
      </c>
      <c r="L69" s="7">
        <f t="shared" ref="L69:L87" si="40">C69</f>
        <v>0</v>
      </c>
      <c r="M69" s="24">
        <f t="shared" ref="M69:M87" si="41">G69</f>
        <v>0</v>
      </c>
      <c r="N69" s="12">
        <v>0</v>
      </c>
      <c r="O69" s="12">
        <v>0</v>
      </c>
      <c r="P69" s="12">
        <v>0</v>
      </c>
      <c r="Q69" s="16"/>
      <c r="R69" s="16"/>
    </row>
    <row r="70" spans="2:18" ht="40.200000000000003" customHeight="1" x14ac:dyDescent="0.4">
      <c r="B70" s="38"/>
      <c r="C70" s="3"/>
      <c r="D70" s="11"/>
      <c r="E70" s="40" t="s">
        <v>16</v>
      </c>
      <c r="F70" s="13">
        <f t="shared" si="1"/>
        <v>0</v>
      </c>
      <c r="H70" s="76" t="str">
        <f t="shared" si="39"/>
        <v/>
      </c>
      <c r="I70" s="15" t="str">
        <f t="shared" si="3"/>
        <v/>
      </c>
      <c r="L70" s="7">
        <f t="shared" si="40"/>
        <v>0</v>
      </c>
      <c r="M70" s="24">
        <f t="shared" si="41"/>
        <v>0</v>
      </c>
      <c r="N70" s="12">
        <v>0</v>
      </c>
      <c r="O70" s="12">
        <v>0</v>
      </c>
      <c r="P70" s="12">
        <v>0</v>
      </c>
      <c r="Q70" s="16"/>
      <c r="R70" s="16"/>
    </row>
    <row r="71" spans="2:18" ht="40.200000000000003" customHeight="1" x14ac:dyDescent="0.4">
      <c r="B71" s="38"/>
      <c r="C71" s="3"/>
      <c r="D71" s="11"/>
      <c r="E71" s="40" t="s">
        <v>16</v>
      </c>
      <c r="F71" s="13">
        <f t="shared" si="1"/>
        <v>0</v>
      </c>
      <c r="H71" s="76" t="str">
        <f t="shared" si="39"/>
        <v/>
      </c>
      <c r="I71" s="15" t="str">
        <f t="shared" si="3"/>
        <v/>
      </c>
      <c r="L71" s="7">
        <f t="shared" si="40"/>
        <v>0</v>
      </c>
      <c r="M71" s="24">
        <f t="shared" si="41"/>
        <v>0</v>
      </c>
      <c r="N71" s="12">
        <v>0</v>
      </c>
      <c r="O71" s="12">
        <v>0</v>
      </c>
      <c r="P71" s="12">
        <v>0</v>
      </c>
      <c r="Q71" s="16"/>
      <c r="R71" s="16"/>
    </row>
    <row r="72" spans="2:18" ht="40.200000000000003" customHeight="1" x14ac:dyDescent="0.4">
      <c r="B72" s="38"/>
      <c r="C72" s="3"/>
      <c r="D72" s="11"/>
      <c r="E72" s="40" t="s">
        <v>16</v>
      </c>
      <c r="F72" s="13">
        <f t="shared" ref="F72:F135" si="42">G72</f>
        <v>0</v>
      </c>
      <c r="H72" s="76" t="str">
        <f t="shared" si="39"/>
        <v/>
      </c>
      <c r="I72" s="15" t="str">
        <f t="shared" ref="I72:I87" si="43">IF(H72="","",(H72+I71-J72))</f>
        <v/>
      </c>
      <c r="L72" s="7">
        <f t="shared" si="40"/>
        <v>0</v>
      </c>
      <c r="M72" s="24">
        <f t="shared" si="41"/>
        <v>0</v>
      </c>
      <c r="N72" s="12">
        <v>0</v>
      </c>
      <c r="O72" s="12">
        <v>0</v>
      </c>
      <c r="P72" s="12">
        <v>0</v>
      </c>
      <c r="Q72" s="16"/>
      <c r="R72" s="16"/>
    </row>
    <row r="73" spans="2:18" ht="40.200000000000003" customHeight="1" x14ac:dyDescent="0.4">
      <c r="B73" s="38"/>
      <c r="C73" s="3"/>
      <c r="D73" s="11"/>
      <c r="E73" s="40" t="s">
        <v>16</v>
      </c>
      <c r="F73" s="13">
        <f t="shared" si="42"/>
        <v>0</v>
      </c>
      <c r="H73" s="76" t="str">
        <f t="shared" si="39"/>
        <v/>
      </c>
      <c r="I73" s="15" t="str">
        <f t="shared" si="43"/>
        <v/>
      </c>
      <c r="L73" s="7">
        <f t="shared" si="40"/>
        <v>0</v>
      </c>
      <c r="M73" s="24">
        <f t="shared" si="41"/>
        <v>0</v>
      </c>
      <c r="N73" s="12">
        <v>0</v>
      </c>
      <c r="O73" s="12">
        <v>0</v>
      </c>
      <c r="P73" s="12">
        <v>0</v>
      </c>
      <c r="Q73" s="16"/>
      <c r="R73" s="16"/>
    </row>
    <row r="74" spans="2:18" ht="40.200000000000003" customHeight="1" x14ac:dyDescent="0.4">
      <c r="B74" s="38"/>
      <c r="C74" s="3"/>
      <c r="D74" s="11"/>
      <c r="E74" s="40" t="s">
        <v>16</v>
      </c>
      <c r="F74" s="13">
        <f t="shared" si="42"/>
        <v>0</v>
      </c>
      <c r="H74" s="76" t="str">
        <f t="shared" ref="H74:H80" si="44">IF(G74="","",(G74))</f>
        <v/>
      </c>
      <c r="I74" s="15" t="str">
        <f t="shared" si="43"/>
        <v/>
      </c>
      <c r="L74" s="7">
        <f t="shared" ref="L74:L80" si="45">C74</f>
        <v>0</v>
      </c>
      <c r="M74" s="24">
        <f t="shared" ref="M74:M80" si="46">G74</f>
        <v>0</v>
      </c>
      <c r="N74" s="12">
        <v>0</v>
      </c>
      <c r="O74" s="12">
        <v>0</v>
      </c>
      <c r="P74" s="12">
        <v>0</v>
      </c>
      <c r="Q74" s="16"/>
      <c r="R74" s="16"/>
    </row>
    <row r="75" spans="2:18" ht="40.200000000000003" customHeight="1" x14ac:dyDescent="0.4">
      <c r="B75" s="38"/>
      <c r="C75" s="3"/>
      <c r="D75" s="11"/>
      <c r="E75" s="40" t="s">
        <v>16</v>
      </c>
      <c r="F75" s="13">
        <f t="shared" si="42"/>
        <v>0</v>
      </c>
      <c r="H75" s="76" t="str">
        <f t="shared" si="44"/>
        <v/>
      </c>
      <c r="I75" s="15" t="str">
        <f t="shared" si="43"/>
        <v/>
      </c>
      <c r="L75" s="7">
        <f t="shared" si="45"/>
        <v>0</v>
      </c>
      <c r="M75" s="24">
        <f t="shared" si="46"/>
        <v>0</v>
      </c>
      <c r="N75" s="12">
        <v>0</v>
      </c>
      <c r="O75" s="12">
        <v>0</v>
      </c>
      <c r="P75" s="12">
        <v>0</v>
      </c>
      <c r="Q75" s="16"/>
      <c r="R75" s="16"/>
    </row>
    <row r="76" spans="2:18" ht="40.200000000000003" customHeight="1" x14ac:dyDescent="0.4">
      <c r="B76" s="38"/>
      <c r="C76" s="3"/>
      <c r="D76" s="11"/>
      <c r="E76" s="40" t="s">
        <v>16</v>
      </c>
      <c r="F76" s="13">
        <f t="shared" si="42"/>
        <v>0</v>
      </c>
      <c r="H76" s="76" t="str">
        <f t="shared" si="44"/>
        <v/>
      </c>
      <c r="I76" s="15" t="str">
        <f t="shared" si="43"/>
        <v/>
      </c>
      <c r="L76" s="7">
        <f t="shared" si="45"/>
        <v>0</v>
      </c>
      <c r="M76" s="24">
        <f t="shared" si="46"/>
        <v>0</v>
      </c>
      <c r="N76" s="12">
        <v>0</v>
      </c>
      <c r="O76" s="12">
        <v>0</v>
      </c>
      <c r="P76" s="12">
        <v>0</v>
      </c>
      <c r="Q76" s="16"/>
      <c r="R76" s="16"/>
    </row>
    <row r="77" spans="2:18" ht="40.200000000000003" customHeight="1" x14ac:dyDescent="0.4">
      <c r="B77" s="38"/>
      <c r="C77" s="3"/>
      <c r="D77" s="11"/>
      <c r="E77" s="40" t="s">
        <v>16</v>
      </c>
      <c r="F77" s="13">
        <f t="shared" si="42"/>
        <v>0</v>
      </c>
      <c r="H77" s="76" t="str">
        <f t="shared" si="44"/>
        <v/>
      </c>
      <c r="I77" s="15" t="str">
        <f t="shared" si="43"/>
        <v/>
      </c>
      <c r="L77" s="7">
        <f t="shared" si="45"/>
        <v>0</v>
      </c>
      <c r="M77" s="24">
        <f t="shared" si="46"/>
        <v>0</v>
      </c>
      <c r="N77" s="12">
        <v>0</v>
      </c>
      <c r="O77" s="12">
        <v>0</v>
      </c>
      <c r="P77" s="12">
        <v>0</v>
      </c>
      <c r="Q77" s="16"/>
      <c r="R77" s="16"/>
    </row>
    <row r="78" spans="2:18" ht="40.200000000000003" customHeight="1" x14ac:dyDescent="0.4">
      <c r="B78" s="38"/>
      <c r="C78" s="3"/>
      <c r="D78" s="11"/>
      <c r="E78" s="40" t="s">
        <v>16</v>
      </c>
      <c r="F78" s="13">
        <f t="shared" si="42"/>
        <v>0</v>
      </c>
      <c r="H78" s="76" t="str">
        <f t="shared" si="44"/>
        <v/>
      </c>
      <c r="I78" s="15" t="str">
        <f t="shared" si="43"/>
        <v/>
      </c>
      <c r="L78" s="7">
        <f t="shared" si="45"/>
        <v>0</v>
      </c>
      <c r="M78" s="24">
        <f t="shared" si="46"/>
        <v>0</v>
      </c>
      <c r="N78" s="12">
        <v>0</v>
      </c>
      <c r="O78" s="12">
        <v>0</v>
      </c>
      <c r="P78" s="12">
        <v>0</v>
      </c>
      <c r="Q78" s="16"/>
      <c r="R78" s="16"/>
    </row>
    <row r="79" spans="2:18" ht="40.200000000000003" customHeight="1" x14ac:dyDescent="0.4">
      <c r="B79" s="38"/>
      <c r="C79" s="3"/>
      <c r="D79" s="11"/>
      <c r="E79" s="40" t="s">
        <v>16</v>
      </c>
      <c r="F79" s="13">
        <f t="shared" si="42"/>
        <v>0</v>
      </c>
      <c r="H79" s="76" t="str">
        <f t="shared" si="44"/>
        <v/>
      </c>
      <c r="I79" s="15" t="str">
        <f t="shared" si="43"/>
        <v/>
      </c>
      <c r="L79" s="7">
        <f t="shared" si="45"/>
        <v>0</v>
      </c>
      <c r="M79" s="24">
        <f t="shared" si="46"/>
        <v>0</v>
      </c>
      <c r="N79" s="12">
        <v>0</v>
      </c>
      <c r="O79" s="12">
        <v>0</v>
      </c>
      <c r="P79" s="12">
        <v>0</v>
      </c>
      <c r="Q79" s="16"/>
      <c r="R79" s="16"/>
    </row>
    <row r="80" spans="2:18" ht="40.200000000000003" customHeight="1" x14ac:dyDescent="0.4">
      <c r="B80" s="38"/>
      <c r="C80" s="3"/>
      <c r="D80" s="11"/>
      <c r="E80" s="40" t="s">
        <v>16</v>
      </c>
      <c r="F80" s="13">
        <f t="shared" si="42"/>
        <v>0</v>
      </c>
      <c r="H80" s="76" t="str">
        <f t="shared" si="44"/>
        <v/>
      </c>
      <c r="I80" s="15" t="str">
        <f t="shared" si="43"/>
        <v/>
      </c>
      <c r="L80" s="7">
        <f t="shared" si="45"/>
        <v>0</v>
      </c>
      <c r="M80" s="24">
        <f t="shared" si="46"/>
        <v>0</v>
      </c>
      <c r="N80" s="12">
        <v>0</v>
      </c>
      <c r="O80" s="12">
        <v>0</v>
      </c>
      <c r="P80" s="12">
        <v>0</v>
      </c>
      <c r="Q80" s="16"/>
      <c r="R80" s="16"/>
    </row>
    <row r="81" spans="2:18" ht="40.200000000000003" customHeight="1" x14ac:dyDescent="0.4">
      <c r="B81" s="38"/>
      <c r="C81" s="3"/>
      <c r="D81" s="11"/>
      <c r="E81" s="40" t="s">
        <v>16</v>
      </c>
      <c r="F81" s="13">
        <f t="shared" si="42"/>
        <v>0</v>
      </c>
      <c r="H81" s="76" t="str">
        <f t="shared" si="39"/>
        <v/>
      </c>
      <c r="I81" s="15" t="str">
        <f t="shared" si="43"/>
        <v/>
      </c>
      <c r="L81" s="7">
        <f t="shared" si="40"/>
        <v>0</v>
      </c>
      <c r="M81" s="24">
        <f t="shared" si="41"/>
        <v>0</v>
      </c>
      <c r="N81" s="12">
        <v>0</v>
      </c>
      <c r="O81" s="12">
        <v>0</v>
      </c>
      <c r="P81" s="12">
        <v>0</v>
      </c>
      <c r="Q81" s="16"/>
      <c r="R81" s="16"/>
    </row>
    <row r="82" spans="2:18" ht="40.200000000000003" customHeight="1" x14ac:dyDescent="0.4">
      <c r="B82" s="38"/>
      <c r="C82" s="3"/>
      <c r="D82" s="11"/>
      <c r="E82" s="40" t="s">
        <v>16</v>
      </c>
      <c r="F82" s="13">
        <f t="shared" si="42"/>
        <v>0</v>
      </c>
      <c r="H82" s="76" t="str">
        <f t="shared" si="39"/>
        <v/>
      </c>
      <c r="I82" s="15" t="str">
        <f t="shared" si="43"/>
        <v/>
      </c>
      <c r="L82" s="7">
        <f t="shared" si="40"/>
        <v>0</v>
      </c>
      <c r="M82" s="24">
        <f t="shared" si="41"/>
        <v>0</v>
      </c>
      <c r="N82" s="12">
        <v>0</v>
      </c>
      <c r="O82" s="12">
        <v>0</v>
      </c>
      <c r="P82" s="12">
        <v>0</v>
      </c>
      <c r="Q82" s="16"/>
      <c r="R82" s="16"/>
    </row>
    <row r="83" spans="2:18" ht="40.200000000000003" customHeight="1" x14ac:dyDescent="0.4">
      <c r="B83" s="38"/>
      <c r="C83" s="3"/>
      <c r="D83" s="11"/>
      <c r="E83" s="40" t="s">
        <v>16</v>
      </c>
      <c r="F83" s="13">
        <f t="shared" si="42"/>
        <v>0</v>
      </c>
      <c r="H83" s="76" t="str">
        <f t="shared" si="39"/>
        <v/>
      </c>
      <c r="I83" s="15" t="str">
        <f t="shared" si="43"/>
        <v/>
      </c>
      <c r="L83" s="7">
        <f t="shared" si="40"/>
        <v>0</v>
      </c>
      <c r="M83" s="24">
        <f t="shared" si="41"/>
        <v>0</v>
      </c>
      <c r="N83" s="12">
        <v>0</v>
      </c>
      <c r="O83" s="12">
        <v>0</v>
      </c>
      <c r="P83" s="12">
        <v>0</v>
      </c>
      <c r="Q83" s="16"/>
      <c r="R83" s="16"/>
    </row>
    <row r="84" spans="2:18" ht="40.200000000000003" customHeight="1" x14ac:dyDescent="0.4">
      <c r="B84" s="38"/>
      <c r="C84" s="3"/>
      <c r="D84" s="11"/>
      <c r="E84" s="40" t="s">
        <v>16</v>
      </c>
      <c r="F84" s="13">
        <f t="shared" si="42"/>
        <v>0</v>
      </c>
      <c r="H84" s="76" t="str">
        <f t="shared" si="39"/>
        <v/>
      </c>
      <c r="I84" s="15" t="str">
        <f t="shared" si="43"/>
        <v/>
      </c>
      <c r="L84" s="7">
        <f t="shared" si="40"/>
        <v>0</v>
      </c>
      <c r="M84" s="24">
        <f t="shared" si="41"/>
        <v>0</v>
      </c>
      <c r="N84" s="12">
        <v>0</v>
      </c>
      <c r="O84" s="12">
        <v>0</v>
      </c>
      <c r="P84" s="12">
        <v>0</v>
      </c>
      <c r="Q84" s="16"/>
      <c r="R84" s="16"/>
    </row>
    <row r="85" spans="2:18" ht="40.200000000000003" customHeight="1" x14ac:dyDescent="0.4">
      <c r="B85" s="38"/>
      <c r="C85" s="3"/>
      <c r="D85" s="11"/>
      <c r="E85" s="40" t="s">
        <v>16</v>
      </c>
      <c r="F85" s="13">
        <f t="shared" si="42"/>
        <v>0</v>
      </c>
      <c r="H85" s="76" t="str">
        <f t="shared" si="39"/>
        <v/>
      </c>
      <c r="I85" s="15" t="str">
        <f t="shared" si="43"/>
        <v/>
      </c>
      <c r="L85" s="7">
        <f t="shared" si="40"/>
        <v>0</v>
      </c>
      <c r="M85" s="24">
        <f t="shared" si="41"/>
        <v>0</v>
      </c>
      <c r="N85" s="12">
        <v>0</v>
      </c>
      <c r="O85" s="12">
        <v>0</v>
      </c>
      <c r="P85" s="12">
        <v>0</v>
      </c>
      <c r="Q85" s="16"/>
      <c r="R85" s="16"/>
    </row>
    <row r="86" spans="2:18" ht="40.200000000000003" customHeight="1" x14ac:dyDescent="0.4">
      <c r="B86" s="38"/>
      <c r="C86" s="3"/>
      <c r="D86" s="11"/>
      <c r="E86" s="40" t="s">
        <v>16</v>
      </c>
      <c r="F86" s="13">
        <f t="shared" si="42"/>
        <v>0</v>
      </c>
      <c r="H86" s="76" t="str">
        <f t="shared" si="39"/>
        <v/>
      </c>
      <c r="I86" s="15" t="str">
        <f t="shared" si="43"/>
        <v/>
      </c>
      <c r="L86" s="7">
        <f t="shared" si="40"/>
        <v>0</v>
      </c>
      <c r="M86" s="24">
        <f t="shared" si="41"/>
        <v>0</v>
      </c>
      <c r="N86" s="12">
        <v>0</v>
      </c>
      <c r="O86" s="12">
        <v>0</v>
      </c>
      <c r="P86" s="12">
        <v>0</v>
      </c>
      <c r="Q86" s="16"/>
      <c r="R86" s="16"/>
    </row>
    <row r="87" spans="2:18" ht="40.200000000000003" customHeight="1" x14ac:dyDescent="0.4">
      <c r="B87" s="38"/>
      <c r="C87" s="3"/>
      <c r="D87" s="11"/>
      <c r="E87" s="40" t="s">
        <v>16</v>
      </c>
      <c r="F87" s="13">
        <f t="shared" si="42"/>
        <v>0</v>
      </c>
      <c r="H87" s="76" t="str">
        <f t="shared" si="39"/>
        <v/>
      </c>
      <c r="I87" s="15" t="str">
        <f t="shared" si="43"/>
        <v/>
      </c>
      <c r="L87" s="7">
        <f t="shared" si="40"/>
        <v>0</v>
      </c>
      <c r="M87" s="24">
        <f t="shared" si="41"/>
        <v>0</v>
      </c>
      <c r="N87" s="12">
        <v>0</v>
      </c>
      <c r="O87" s="12">
        <v>0</v>
      </c>
      <c r="P87" s="12">
        <v>0</v>
      </c>
      <c r="Q87" s="16"/>
      <c r="R87" s="16"/>
    </row>
    <row r="88" spans="2:18" ht="40.200000000000003" customHeight="1" x14ac:dyDescent="0.4">
      <c r="B88" s="38"/>
      <c r="C88" s="3"/>
      <c r="D88" s="11"/>
      <c r="E88" s="40" t="s">
        <v>16</v>
      </c>
      <c r="F88" s="13">
        <f t="shared" si="42"/>
        <v>0</v>
      </c>
      <c r="H88" s="76" t="str">
        <f t="shared" ref="H88:H89" si="47">IF(G88="","",(G88))</f>
        <v/>
      </c>
      <c r="I88" s="15" t="str">
        <f t="shared" ref="I88:I89" si="48">IF(H88="","",(H88+I87-J88))</f>
        <v/>
      </c>
      <c r="L88" s="7">
        <f t="shared" ref="L88:L89" si="49">C88</f>
        <v>0</v>
      </c>
      <c r="M88" s="24">
        <f t="shared" ref="M88:M89" si="50">G88</f>
        <v>0</v>
      </c>
      <c r="N88" s="12">
        <v>0</v>
      </c>
      <c r="O88" s="12">
        <v>0</v>
      </c>
      <c r="P88" s="12">
        <v>0</v>
      </c>
      <c r="Q88" s="16"/>
      <c r="R88" s="16"/>
    </row>
    <row r="89" spans="2:18" ht="40.200000000000003" customHeight="1" x14ac:dyDescent="0.4">
      <c r="B89" s="38"/>
      <c r="C89" s="3"/>
      <c r="D89" s="11"/>
      <c r="E89" s="40" t="s">
        <v>16</v>
      </c>
      <c r="F89" s="13">
        <f t="shared" si="42"/>
        <v>0</v>
      </c>
      <c r="H89" s="76" t="str">
        <f t="shared" si="47"/>
        <v/>
      </c>
      <c r="I89" s="15" t="str">
        <f t="shared" si="48"/>
        <v/>
      </c>
      <c r="L89" s="7">
        <f t="shared" si="49"/>
        <v>0</v>
      </c>
      <c r="M89" s="24">
        <f t="shared" si="50"/>
        <v>0</v>
      </c>
      <c r="N89" s="12">
        <v>0</v>
      </c>
      <c r="O89" s="12">
        <v>0</v>
      </c>
      <c r="P89" s="12">
        <v>0</v>
      </c>
      <c r="Q89" s="16"/>
      <c r="R89" s="16"/>
    </row>
    <row r="90" spans="2:18" ht="40.200000000000003" customHeight="1" x14ac:dyDescent="0.4">
      <c r="B90" s="38"/>
      <c r="C90" s="3"/>
      <c r="D90" s="11"/>
      <c r="E90" s="40" t="s">
        <v>16</v>
      </c>
      <c r="F90" s="13">
        <f t="shared" si="42"/>
        <v>0</v>
      </c>
      <c r="H90" s="76" t="str">
        <f t="shared" ref="H90" si="51">IF(G90="","",(G90))</f>
        <v/>
      </c>
      <c r="I90" s="15" t="str">
        <f t="shared" ref="I90" si="52">IF(H90="","",(H90+I89-J90))</f>
        <v/>
      </c>
      <c r="L90" s="7">
        <f t="shared" ref="L90" si="53">C90</f>
        <v>0</v>
      </c>
      <c r="M90" s="24">
        <f t="shared" ref="M90" si="54">G90</f>
        <v>0</v>
      </c>
      <c r="N90" s="12">
        <v>0</v>
      </c>
      <c r="O90" s="12">
        <v>0</v>
      </c>
      <c r="P90" s="12">
        <v>0</v>
      </c>
      <c r="Q90" s="16"/>
      <c r="R90" s="16"/>
    </row>
    <row r="91" spans="2:18" ht="40.200000000000003" customHeight="1" x14ac:dyDescent="0.4">
      <c r="B91" s="38"/>
      <c r="C91" s="3"/>
      <c r="D91" s="11"/>
      <c r="E91" s="40" t="s">
        <v>16</v>
      </c>
      <c r="F91" s="13">
        <f t="shared" si="42"/>
        <v>0</v>
      </c>
      <c r="H91" s="76" t="str">
        <f t="shared" ref="H91:H96" si="55">IF(G91="","",(G91))</f>
        <v/>
      </c>
      <c r="I91" s="15" t="str">
        <f t="shared" ref="I91:I96" si="56">IF(H91="","",(H91+I90-J91))</f>
        <v/>
      </c>
      <c r="L91" s="7">
        <f t="shared" ref="L91:L96" si="57">C91</f>
        <v>0</v>
      </c>
      <c r="M91" s="24">
        <f t="shared" ref="M91:M96" si="58">G91</f>
        <v>0</v>
      </c>
      <c r="N91" s="12">
        <v>0</v>
      </c>
      <c r="O91" s="12">
        <v>0</v>
      </c>
      <c r="P91" s="12">
        <v>0</v>
      </c>
      <c r="Q91" s="16"/>
      <c r="R91" s="16"/>
    </row>
    <row r="92" spans="2:18" ht="40.200000000000003" customHeight="1" x14ac:dyDescent="0.4">
      <c r="B92" s="38"/>
      <c r="C92" s="3"/>
      <c r="D92" s="11"/>
      <c r="E92" s="40" t="s">
        <v>16</v>
      </c>
      <c r="F92" s="13">
        <f t="shared" si="42"/>
        <v>0</v>
      </c>
      <c r="H92" s="76" t="str">
        <f t="shared" si="55"/>
        <v/>
      </c>
      <c r="I92" s="15" t="str">
        <f t="shared" si="56"/>
        <v/>
      </c>
      <c r="L92" s="7">
        <f t="shared" si="57"/>
        <v>0</v>
      </c>
      <c r="M92" s="24">
        <f t="shared" si="58"/>
        <v>0</v>
      </c>
      <c r="N92" s="12">
        <v>0</v>
      </c>
      <c r="O92" s="12">
        <v>0</v>
      </c>
      <c r="P92" s="12">
        <v>0</v>
      </c>
      <c r="Q92" s="16"/>
      <c r="R92" s="16"/>
    </row>
    <row r="93" spans="2:18" ht="40.200000000000003" customHeight="1" x14ac:dyDescent="0.4">
      <c r="B93" s="38"/>
      <c r="C93" s="3"/>
      <c r="D93" s="11"/>
      <c r="E93" s="40" t="s">
        <v>16</v>
      </c>
      <c r="F93" s="13">
        <f t="shared" si="42"/>
        <v>0</v>
      </c>
      <c r="H93" s="76" t="str">
        <f t="shared" si="55"/>
        <v/>
      </c>
      <c r="I93" s="15" t="str">
        <f t="shared" si="56"/>
        <v/>
      </c>
      <c r="L93" s="7">
        <f t="shared" si="57"/>
        <v>0</v>
      </c>
      <c r="M93" s="24">
        <f t="shared" si="58"/>
        <v>0</v>
      </c>
      <c r="N93" s="12">
        <v>0</v>
      </c>
      <c r="O93" s="12">
        <v>0</v>
      </c>
      <c r="P93" s="12">
        <v>0</v>
      </c>
      <c r="Q93" s="16"/>
      <c r="R93" s="16"/>
    </row>
    <row r="94" spans="2:18" ht="40.200000000000003" customHeight="1" x14ac:dyDescent="0.4">
      <c r="B94" s="38"/>
      <c r="C94" s="3"/>
      <c r="D94" s="11"/>
      <c r="E94" s="40" t="s">
        <v>16</v>
      </c>
      <c r="F94" s="13">
        <f t="shared" si="42"/>
        <v>0</v>
      </c>
      <c r="H94" s="76" t="str">
        <f t="shared" si="55"/>
        <v/>
      </c>
      <c r="I94" s="15" t="str">
        <f t="shared" si="56"/>
        <v/>
      </c>
      <c r="L94" s="7">
        <f t="shared" si="57"/>
        <v>0</v>
      </c>
      <c r="M94" s="24">
        <f t="shared" si="58"/>
        <v>0</v>
      </c>
      <c r="N94" s="12">
        <v>0</v>
      </c>
      <c r="O94" s="12">
        <v>0</v>
      </c>
      <c r="P94" s="12">
        <v>0</v>
      </c>
      <c r="Q94" s="16"/>
      <c r="R94" s="16"/>
    </row>
    <row r="95" spans="2:18" ht="40.200000000000003" customHeight="1" x14ac:dyDescent="0.4">
      <c r="B95" s="38"/>
      <c r="C95" s="3"/>
      <c r="D95" s="11"/>
      <c r="E95" s="40" t="s">
        <v>16</v>
      </c>
      <c r="F95" s="13">
        <f t="shared" si="42"/>
        <v>0</v>
      </c>
      <c r="H95" s="76" t="str">
        <f t="shared" si="55"/>
        <v/>
      </c>
      <c r="I95" s="15" t="str">
        <f t="shared" si="56"/>
        <v/>
      </c>
      <c r="L95" s="7">
        <f t="shared" si="57"/>
        <v>0</v>
      </c>
      <c r="M95" s="24">
        <f t="shared" si="58"/>
        <v>0</v>
      </c>
      <c r="N95" s="12">
        <v>0</v>
      </c>
      <c r="O95" s="12">
        <v>0</v>
      </c>
      <c r="P95" s="12">
        <v>0</v>
      </c>
      <c r="Q95" s="16"/>
      <c r="R95" s="16"/>
    </row>
    <row r="96" spans="2:18" ht="40.200000000000003" customHeight="1" x14ac:dyDescent="0.4">
      <c r="B96" s="38"/>
      <c r="C96" s="3"/>
      <c r="D96" s="11"/>
      <c r="E96" s="40" t="s">
        <v>16</v>
      </c>
      <c r="F96" s="13">
        <f t="shared" si="42"/>
        <v>0</v>
      </c>
      <c r="H96" s="76" t="str">
        <f t="shared" si="55"/>
        <v/>
      </c>
      <c r="I96" s="15" t="str">
        <f t="shared" si="56"/>
        <v/>
      </c>
      <c r="L96" s="7">
        <f t="shared" si="57"/>
        <v>0</v>
      </c>
      <c r="M96" s="24">
        <f t="shared" si="58"/>
        <v>0</v>
      </c>
      <c r="N96" s="12">
        <v>0</v>
      </c>
      <c r="O96" s="12">
        <v>0</v>
      </c>
      <c r="P96" s="12">
        <v>0</v>
      </c>
      <c r="Q96" s="16"/>
      <c r="R96" s="16"/>
    </row>
    <row r="97" spans="2:18" ht="40.200000000000003" customHeight="1" x14ac:dyDescent="0.4">
      <c r="B97" s="38"/>
      <c r="C97" s="3"/>
      <c r="D97" s="11"/>
      <c r="E97" s="40" t="s">
        <v>16</v>
      </c>
      <c r="F97" s="13">
        <f t="shared" si="42"/>
        <v>0</v>
      </c>
      <c r="H97" s="76" t="str">
        <f t="shared" ref="H97:H100" si="59">IF(G97="","",(G97))</f>
        <v/>
      </c>
      <c r="I97" s="15" t="str">
        <f t="shared" ref="I97:I99" si="60">IF(H97="","",(H97+I96-J97))</f>
        <v/>
      </c>
      <c r="L97" s="7">
        <f t="shared" ref="L97:L100" si="61">C97</f>
        <v>0</v>
      </c>
      <c r="M97" s="24">
        <f t="shared" ref="M97:M100" si="62">G97</f>
        <v>0</v>
      </c>
      <c r="N97" s="12">
        <v>0</v>
      </c>
      <c r="O97" s="12">
        <v>0</v>
      </c>
      <c r="P97" s="12">
        <v>0</v>
      </c>
      <c r="Q97" s="16"/>
      <c r="R97" s="16"/>
    </row>
    <row r="98" spans="2:18" ht="40.200000000000003" customHeight="1" x14ac:dyDescent="0.4">
      <c r="B98" s="38"/>
      <c r="C98" s="3"/>
      <c r="D98" s="11"/>
      <c r="E98" s="40" t="s">
        <v>16</v>
      </c>
      <c r="F98" s="13">
        <f t="shared" si="42"/>
        <v>0</v>
      </c>
      <c r="H98" s="76" t="str">
        <f t="shared" si="59"/>
        <v/>
      </c>
      <c r="I98" s="15" t="str">
        <f>IF(H98="","",(H98+I97-J98))</f>
        <v/>
      </c>
      <c r="L98" s="7">
        <f t="shared" si="61"/>
        <v>0</v>
      </c>
      <c r="M98" s="24">
        <f t="shared" si="62"/>
        <v>0</v>
      </c>
      <c r="N98" s="12">
        <v>0</v>
      </c>
      <c r="O98" s="12">
        <v>0</v>
      </c>
      <c r="P98" s="12">
        <v>0</v>
      </c>
      <c r="Q98" s="16"/>
      <c r="R98" s="16"/>
    </row>
    <row r="99" spans="2:18" ht="40.200000000000003" customHeight="1" x14ac:dyDescent="0.4">
      <c r="B99" s="38"/>
      <c r="C99" s="3"/>
      <c r="D99" s="11"/>
      <c r="E99" s="40" t="s">
        <v>16</v>
      </c>
      <c r="F99" s="13">
        <f t="shared" si="42"/>
        <v>0</v>
      </c>
      <c r="H99" s="76" t="str">
        <f t="shared" si="59"/>
        <v/>
      </c>
      <c r="I99" s="15" t="str">
        <f t="shared" si="60"/>
        <v/>
      </c>
      <c r="L99" s="7">
        <f t="shared" si="61"/>
        <v>0</v>
      </c>
      <c r="M99" s="24">
        <f t="shared" si="62"/>
        <v>0</v>
      </c>
      <c r="N99" s="12">
        <v>0</v>
      </c>
      <c r="O99" s="12">
        <v>0</v>
      </c>
      <c r="P99" s="12">
        <v>0</v>
      </c>
      <c r="Q99" s="16"/>
      <c r="R99" s="16"/>
    </row>
    <row r="100" spans="2:18" ht="40.200000000000003" customHeight="1" x14ac:dyDescent="0.4">
      <c r="B100" s="38"/>
      <c r="C100" s="3"/>
      <c r="D100" s="11"/>
      <c r="E100" s="40" t="s">
        <v>16</v>
      </c>
      <c r="F100" s="13">
        <f t="shared" si="42"/>
        <v>0</v>
      </c>
      <c r="H100" s="76" t="str">
        <f t="shared" si="59"/>
        <v/>
      </c>
      <c r="I100" s="15" t="str">
        <f>IF(H100="","",(H100+I99-J100))</f>
        <v/>
      </c>
      <c r="L100" s="7">
        <f t="shared" si="61"/>
        <v>0</v>
      </c>
      <c r="M100" s="24">
        <f t="shared" si="62"/>
        <v>0</v>
      </c>
      <c r="N100" s="12">
        <v>0</v>
      </c>
      <c r="O100" s="12">
        <v>0</v>
      </c>
      <c r="P100" s="12">
        <v>0</v>
      </c>
      <c r="Q100" s="16"/>
      <c r="R100" s="16"/>
    </row>
    <row r="101" spans="2:18" ht="40.200000000000003" customHeight="1" x14ac:dyDescent="0.4">
      <c r="B101" s="38"/>
      <c r="C101" s="3"/>
      <c r="D101" s="11"/>
      <c r="E101" s="40" t="s">
        <v>16</v>
      </c>
      <c r="F101" s="13">
        <f t="shared" si="42"/>
        <v>0</v>
      </c>
      <c r="H101" s="76" t="str">
        <f t="shared" ref="H101:H106" si="63">IF(G101="","",(G101))</f>
        <v/>
      </c>
      <c r="I101" s="15" t="str">
        <f t="shared" ref="I101:I106" si="64">IF(H101="","",(H101+I100-J101))</f>
        <v/>
      </c>
      <c r="L101" s="7">
        <f t="shared" ref="L101:L106" si="65">C101</f>
        <v>0</v>
      </c>
      <c r="M101" s="24">
        <f t="shared" ref="M101:M106" si="66">G101</f>
        <v>0</v>
      </c>
      <c r="N101" s="12">
        <v>0</v>
      </c>
      <c r="O101" s="12">
        <v>0</v>
      </c>
      <c r="P101" s="12">
        <v>0</v>
      </c>
      <c r="Q101" s="16"/>
      <c r="R101" s="16"/>
    </row>
    <row r="102" spans="2:18" ht="40.200000000000003" customHeight="1" x14ac:dyDescent="0.4">
      <c r="B102" s="38"/>
      <c r="C102" s="3"/>
      <c r="D102" s="11"/>
      <c r="E102" s="40" t="s">
        <v>16</v>
      </c>
      <c r="F102" s="13">
        <f t="shared" si="42"/>
        <v>0</v>
      </c>
      <c r="H102" s="76" t="str">
        <f t="shared" si="63"/>
        <v/>
      </c>
      <c r="I102" s="15" t="str">
        <f t="shared" si="64"/>
        <v/>
      </c>
      <c r="L102" s="7">
        <f t="shared" si="65"/>
        <v>0</v>
      </c>
      <c r="M102" s="24">
        <f t="shared" si="66"/>
        <v>0</v>
      </c>
      <c r="N102" s="12">
        <v>0</v>
      </c>
      <c r="O102" s="12">
        <v>0</v>
      </c>
      <c r="P102" s="12">
        <v>0</v>
      </c>
      <c r="Q102" s="16"/>
      <c r="R102" s="16"/>
    </row>
    <row r="103" spans="2:18" ht="40.200000000000003" customHeight="1" x14ac:dyDescent="0.4">
      <c r="B103" s="38"/>
      <c r="C103" s="3"/>
      <c r="D103" s="11"/>
      <c r="E103" s="40" t="s">
        <v>16</v>
      </c>
      <c r="F103" s="13">
        <f t="shared" si="42"/>
        <v>0</v>
      </c>
      <c r="H103" s="76" t="str">
        <f t="shared" si="63"/>
        <v/>
      </c>
      <c r="I103" s="15" t="str">
        <f t="shared" si="64"/>
        <v/>
      </c>
      <c r="L103" s="7">
        <f t="shared" si="65"/>
        <v>0</v>
      </c>
      <c r="M103" s="24">
        <f t="shared" si="66"/>
        <v>0</v>
      </c>
      <c r="N103" s="12">
        <v>0</v>
      </c>
      <c r="O103" s="12">
        <v>0</v>
      </c>
      <c r="P103" s="12">
        <v>0</v>
      </c>
      <c r="Q103" s="16"/>
      <c r="R103" s="16"/>
    </row>
    <row r="104" spans="2:18" ht="40.200000000000003" customHeight="1" x14ac:dyDescent="0.4">
      <c r="B104" s="38"/>
      <c r="C104" s="3"/>
      <c r="D104" s="11"/>
      <c r="E104" s="40" t="s">
        <v>16</v>
      </c>
      <c r="F104" s="13">
        <f t="shared" si="42"/>
        <v>0</v>
      </c>
      <c r="H104" s="76" t="str">
        <f t="shared" si="63"/>
        <v/>
      </c>
      <c r="I104" s="15" t="str">
        <f t="shared" si="64"/>
        <v/>
      </c>
      <c r="L104" s="7">
        <f t="shared" si="65"/>
        <v>0</v>
      </c>
      <c r="M104" s="24">
        <f t="shared" si="66"/>
        <v>0</v>
      </c>
      <c r="N104" s="12">
        <v>0</v>
      </c>
      <c r="O104" s="12">
        <v>0</v>
      </c>
      <c r="P104" s="12">
        <v>0</v>
      </c>
      <c r="Q104" s="16"/>
      <c r="R104" s="16"/>
    </row>
    <row r="105" spans="2:18" ht="40.200000000000003" customHeight="1" x14ac:dyDescent="0.4">
      <c r="B105" s="38"/>
      <c r="C105" s="3"/>
      <c r="D105" s="11"/>
      <c r="E105" s="40" t="s">
        <v>16</v>
      </c>
      <c r="F105" s="13">
        <f t="shared" si="42"/>
        <v>0</v>
      </c>
      <c r="H105" s="76" t="str">
        <f t="shared" si="63"/>
        <v/>
      </c>
      <c r="I105" s="15" t="str">
        <f t="shared" si="64"/>
        <v/>
      </c>
      <c r="L105" s="7">
        <f t="shared" si="65"/>
        <v>0</v>
      </c>
      <c r="M105" s="24">
        <f t="shared" si="66"/>
        <v>0</v>
      </c>
      <c r="N105" s="12">
        <v>0</v>
      </c>
      <c r="O105" s="12">
        <v>0</v>
      </c>
      <c r="P105" s="12">
        <v>0</v>
      </c>
      <c r="Q105" s="16"/>
      <c r="R105" s="16"/>
    </row>
    <row r="106" spans="2:18" ht="40.200000000000003" customHeight="1" x14ac:dyDescent="0.4">
      <c r="B106" s="38"/>
      <c r="C106" s="3"/>
      <c r="D106" s="11"/>
      <c r="E106" s="40" t="s">
        <v>16</v>
      </c>
      <c r="F106" s="13">
        <f t="shared" si="42"/>
        <v>0</v>
      </c>
      <c r="H106" s="76" t="str">
        <f t="shared" si="63"/>
        <v/>
      </c>
      <c r="I106" s="15" t="str">
        <f t="shared" si="64"/>
        <v/>
      </c>
      <c r="L106" s="7">
        <f t="shared" si="65"/>
        <v>0</v>
      </c>
      <c r="M106" s="24">
        <f t="shared" si="66"/>
        <v>0</v>
      </c>
      <c r="N106" s="12">
        <v>0</v>
      </c>
      <c r="O106" s="12">
        <v>0</v>
      </c>
      <c r="P106" s="12">
        <v>0</v>
      </c>
      <c r="Q106" s="16"/>
      <c r="R106" s="16"/>
    </row>
    <row r="107" spans="2:18" ht="40.200000000000003" customHeight="1" x14ac:dyDescent="0.4">
      <c r="B107" s="38"/>
      <c r="C107" s="3"/>
      <c r="D107" s="11"/>
      <c r="E107" s="40" t="s">
        <v>16</v>
      </c>
      <c r="F107" s="13">
        <f t="shared" si="42"/>
        <v>0</v>
      </c>
      <c r="H107" s="76" t="str">
        <f t="shared" ref="H107:H111" si="67">IF(G107="","",(G107))</f>
        <v/>
      </c>
      <c r="I107" s="15" t="str">
        <f t="shared" ref="I107:I111" si="68">IF(H107="","",(H107+I106-J107))</f>
        <v/>
      </c>
      <c r="L107" s="7">
        <f t="shared" ref="L107:L111" si="69">C107</f>
        <v>0</v>
      </c>
      <c r="M107" s="24">
        <f t="shared" ref="M107:M111" si="70">G107</f>
        <v>0</v>
      </c>
      <c r="N107" s="12">
        <v>0</v>
      </c>
      <c r="O107" s="12">
        <v>0</v>
      </c>
      <c r="P107" s="12">
        <v>0</v>
      </c>
      <c r="Q107" s="16"/>
      <c r="R107" s="16"/>
    </row>
    <row r="108" spans="2:18" ht="40.200000000000003" customHeight="1" x14ac:dyDescent="0.4">
      <c r="B108" s="38"/>
      <c r="C108" s="3"/>
      <c r="D108" s="11"/>
      <c r="E108" s="40" t="s">
        <v>16</v>
      </c>
      <c r="F108" s="13">
        <f t="shared" si="42"/>
        <v>0</v>
      </c>
      <c r="H108" s="76" t="str">
        <f t="shared" si="67"/>
        <v/>
      </c>
      <c r="I108" s="15" t="str">
        <f t="shared" si="68"/>
        <v/>
      </c>
      <c r="L108" s="7">
        <f t="shared" si="69"/>
        <v>0</v>
      </c>
      <c r="M108" s="24">
        <f t="shared" si="70"/>
        <v>0</v>
      </c>
      <c r="N108" s="12">
        <v>0</v>
      </c>
      <c r="O108" s="12">
        <v>0</v>
      </c>
      <c r="P108" s="12">
        <v>0</v>
      </c>
      <c r="Q108" s="16"/>
      <c r="R108" s="16"/>
    </row>
    <row r="109" spans="2:18" ht="40.200000000000003" customHeight="1" x14ac:dyDescent="0.4">
      <c r="B109" s="38"/>
      <c r="C109" s="3"/>
      <c r="D109" s="11"/>
      <c r="E109" s="40" t="s">
        <v>16</v>
      </c>
      <c r="F109" s="13">
        <f t="shared" si="42"/>
        <v>0</v>
      </c>
      <c r="H109" s="76" t="str">
        <f t="shared" si="67"/>
        <v/>
      </c>
      <c r="I109" s="15" t="str">
        <f t="shared" si="68"/>
        <v/>
      </c>
      <c r="L109" s="7">
        <f t="shared" si="69"/>
        <v>0</v>
      </c>
      <c r="M109" s="24">
        <f t="shared" si="70"/>
        <v>0</v>
      </c>
      <c r="N109" s="12">
        <v>0</v>
      </c>
      <c r="O109" s="12">
        <v>0</v>
      </c>
      <c r="P109" s="12">
        <v>0</v>
      </c>
      <c r="Q109" s="16"/>
      <c r="R109" s="16"/>
    </row>
    <row r="110" spans="2:18" ht="40.200000000000003" customHeight="1" x14ac:dyDescent="0.4">
      <c r="B110" s="38"/>
      <c r="C110" s="3"/>
      <c r="D110" s="11"/>
      <c r="E110" s="40" t="s">
        <v>16</v>
      </c>
      <c r="F110" s="13">
        <f t="shared" si="42"/>
        <v>0</v>
      </c>
      <c r="H110" s="76" t="str">
        <f t="shared" si="67"/>
        <v/>
      </c>
      <c r="I110" s="15" t="str">
        <f t="shared" si="68"/>
        <v/>
      </c>
      <c r="L110" s="7">
        <f t="shared" si="69"/>
        <v>0</v>
      </c>
      <c r="M110" s="24">
        <f t="shared" si="70"/>
        <v>0</v>
      </c>
      <c r="N110" s="12">
        <v>0</v>
      </c>
      <c r="O110" s="12">
        <v>0</v>
      </c>
      <c r="P110" s="12">
        <v>0</v>
      </c>
      <c r="Q110" s="16"/>
      <c r="R110" s="16"/>
    </row>
    <row r="111" spans="2:18" ht="40.200000000000003" customHeight="1" x14ac:dyDescent="0.4">
      <c r="B111" s="38"/>
      <c r="C111" s="3"/>
      <c r="D111" s="11"/>
      <c r="E111" s="40" t="s">
        <v>16</v>
      </c>
      <c r="F111" s="13">
        <f t="shared" si="42"/>
        <v>0</v>
      </c>
      <c r="H111" s="76" t="str">
        <f t="shared" si="67"/>
        <v/>
      </c>
      <c r="I111" s="15" t="str">
        <f t="shared" si="68"/>
        <v/>
      </c>
      <c r="L111" s="7">
        <f t="shared" si="69"/>
        <v>0</v>
      </c>
      <c r="M111" s="24">
        <f t="shared" si="70"/>
        <v>0</v>
      </c>
      <c r="N111" s="12">
        <v>0</v>
      </c>
      <c r="O111" s="12">
        <v>0</v>
      </c>
      <c r="P111" s="12">
        <v>0</v>
      </c>
      <c r="Q111" s="16"/>
      <c r="R111" s="16"/>
    </row>
    <row r="112" spans="2:18" ht="40.200000000000003" customHeight="1" x14ac:dyDescent="0.4">
      <c r="B112" s="38"/>
      <c r="C112" s="3"/>
      <c r="D112" s="11"/>
      <c r="E112" s="40" t="s">
        <v>16</v>
      </c>
      <c r="F112" s="13">
        <f t="shared" si="42"/>
        <v>0</v>
      </c>
      <c r="H112" s="76" t="str">
        <f t="shared" ref="H112:H115" si="71">IF(G112="","",(G112))</f>
        <v/>
      </c>
      <c r="I112" s="15" t="str">
        <f t="shared" ref="I112:I115" si="72">IF(H112="","",(H112+I111-J112))</f>
        <v/>
      </c>
      <c r="L112" s="7">
        <f t="shared" ref="L112:L115" si="73">C112</f>
        <v>0</v>
      </c>
      <c r="M112" s="24">
        <f t="shared" ref="M112:M115" si="74">G112</f>
        <v>0</v>
      </c>
      <c r="N112" s="12">
        <v>0</v>
      </c>
      <c r="O112" s="12">
        <v>0</v>
      </c>
      <c r="P112" s="12">
        <v>0</v>
      </c>
      <c r="Q112" s="16"/>
      <c r="R112" s="16"/>
    </row>
    <row r="113" spans="2:18" ht="40.200000000000003" customHeight="1" x14ac:dyDescent="0.4">
      <c r="B113" s="38"/>
      <c r="C113" s="3"/>
      <c r="D113" s="11"/>
      <c r="E113" s="40" t="s">
        <v>16</v>
      </c>
      <c r="F113" s="13">
        <f t="shared" si="42"/>
        <v>0</v>
      </c>
      <c r="H113" s="76" t="str">
        <f t="shared" si="71"/>
        <v/>
      </c>
      <c r="I113" s="15" t="str">
        <f t="shared" si="72"/>
        <v/>
      </c>
      <c r="L113" s="7">
        <f t="shared" si="73"/>
        <v>0</v>
      </c>
      <c r="M113" s="24">
        <f t="shared" si="74"/>
        <v>0</v>
      </c>
      <c r="N113" s="12">
        <v>0</v>
      </c>
      <c r="O113" s="12">
        <v>0</v>
      </c>
      <c r="P113" s="12">
        <v>0</v>
      </c>
      <c r="Q113" s="16"/>
      <c r="R113" s="16"/>
    </row>
    <row r="114" spans="2:18" ht="40.200000000000003" customHeight="1" x14ac:dyDescent="0.4">
      <c r="B114" s="38"/>
      <c r="C114" s="3"/>
      <c r="D114" s="11"/>
      <c r="E114" s="40" t="s">
        <v>16</v>
      </c>
      <c r="F114" s="13">
        <f t="shared" si="42"/>
        <v>0</v>
      </c>
      <c r="H114" s="76" t="str">
        <f t="shared" si="71"/>
        <v/>
      </c>
      <c r="I114" s="15" t="str">
        <f t="shared" si="72"/>
        <v/>
      </c>
      <c r="L114" s="7">
        <f t="shared" si="73"/>
        <v>0</v>
      </c>
      <c r="M114" s="24">
        <f t="shared" si="74"/>
        <v>0</v>
      </c>
      <c r="N114" s="12">
        <v>0</v>
      </c>
      <c r="O114" s="12">
        <v>0</v>
      </c>
      <c r="P114" s="12">
        <v>0</v>
      </c>
      <c r="Q114" s="16"/>
      <c r="R114" s="16"/>
    </row>
    <row r="115" spans="2:18" ht="40.200000000000003" customHeight="1" x14ac:dyDescent="0.4">
      <c r="B115" s="38"/>
      <c r="C115" s="3"/>
      <c r="D115" s="11"/>
      <c r="E115" s="40" t="s">
        <v>16</v>
      </c>
      <c r="F115" s="13">
        <f t="shared" si="42"/>
        <v>0</v>
      </c>
      <c r="H115" s="76" t="str">
        <f t="shared" si="71"/>
        <v/>
      </c>
      <c r="I115" s="15" t="str">
        <f t="shared" si="72"/>
        <v/>
      </c>
      <c r="L115" s="7">
        <f t="shared" si="73"/>
        <v>0</v>
      </c>
      <c r="M115" s="24">
        <f t="shared" si="74"/>
        <v>0</v>
      </c>
      <c r="N115" s="12">
        <v>0</v>
      </c>
      <c r="O115" s="12">
        <v>0</v>
      </c>
      <c r="P115" s="12">
        <v>0</v>
      </c>
      <c r="Q115" s="16"/>
      <c r="R115" s="16"/>
    </row>
    <row r="116" spans="2:18" ht="40.200000000000003" customHeight="1" x14ac:dyDescent="0.4">
      <c r="B116" s="38"/>
      <c r="C116" s="3"/>
      <c r="D116" s="11"/>
      <c r="E116" s="40" t="s">
        <v>16</v>
      </c>
      <c r="F116" s="13">
        <f t="shared" si="42"/>
        <v>0</v>
      </c>
      <c r="H116" s="76" t="str">
        <f t="shared" ref="H116:H119" si="75">IF(G116="","",(G116))</f>
        <v/>
      </c>
      <c r="I116" s="15" t="str">
        <f t="shared" ref="I116:I119" si="76">IF(H116="","",(H116+I115-J116))</f>
        <v/>
      </c>
      <c r="L116" s="7">
        <f t="shared" ref="L116:L119" si="77">C116</f>
        <v>0</v>
      </c>
      <c r="M116" s="24">
        <f t="shared" ref="M116:M119" si="78">G116</f>
        <v>0</v>
      </c>
      <c r="N116" s="12">
        <v>0</v>
      </c>
      <c r="O116" s="12">
        <v>0</v>
      </c>
      <c r="P116" s="12">
        <v>0</v>
      </c>
      <c r="Q116" s="16"/>
      <c r="R116" s="16"/>
    </row>
    <row r="117" spans="2:18" ht="40.200000000000003" customHeight="1" x14ac:dyDescent="0.4">
      <c r="B117" s="38"/>
      <c r="C117" s="3"/>
      <c r="D117" s="11"/>
      <c r="E117" s="40" t="s">
        <v>16</v>
      </c>
      <c r="F117" s="13">
        <f t="shared" si="42"/>
        <v>0</v>
      </c>
      <c r="H117" s="76" t="str">
        <f t="shared" si="75"/>
        <v/>
      </c>
      <c r="I117" s="15" t="str">
        <f t="shared" si="76"/>
        <v/>
      </c>
      <c r="L117" s="7">
        <f t="shared" si="77"/>
        <v>0</v>
      </c>
      <c r="M117" s="24">
        <f t="shared" si="78"/>
        <v>0</v>
      </c>
      <c r="N117" s="12">
        <v>0</v>
      </c>
      <c r="O117" s="12">
        <v>0</v>
      </c>
      <c r="P117" s="12">
        <v>0</v>
      </c>
      <c r="Q117" s="16"/>
      <c r="R117" s="16"/>
    </row>
    <row r="118" spans="2:18" ht="40.200000000000003" customHeight="1" x14ac:dyDescent="0.4">
      <c r="B118" s="38"/>
      <c r="C118" s="3"/>
      <c r="D118" s="11"/>
      <c r="E118" s="40" t="s">
        <v>16</v>
      </c>
      <c r="F118" s="13">
        <f t="shared" si="42"/>
        <v>0</v>
      </c>
      <c r="H118" s="76" t="str">
        <f t="shared" si="75"/>
        <v/>
      </c>
      <c r="I118" s="15" t="str">
        <f t="shared" si="76"/>
        <v/>
      </c>
      <c r="L118" s="7">
        <f t="shared" si="77"/>
        <v>0</v>
      </c>
      <c r="M118" s="24">
        <f t="shared" si="78"/>
        <v>0</v>
      </c>
      <c r="N118" s="12">
        <v>0</v>
      </c>
      <c r="O118" s="12">
        <v>0</v>
      </c>
      <c r="P118" s="12">
        <v>0</v>
      </c>
      <c r="Q118" s="16"/>
      <c r="R118" s="16"/>
    </row>
    <row r="119" spans="2:18" ht="40.200000000000003" customHeight="1" x14ac:dyDescent="0.4">
      <c r="B119" s="38"/>
      <c r="C119" s="3"/>
      <c r="D119" s="11"/>
      <c r="E119" s="40" t="s">
        <v>16</v>
      </c>
      <c r="F119" s="13">
        <f t="shared" si="42"/>
        <v>0</v>
      </c>
      <c r="H119" s="76" t="str">
        <f t="shared" si="75"/>
        <v/>
      </c>
      <c r="I119" s="15" t="str">
        <f t="shared" si="76"/>
        <v/>
      </c>
      <c r="L119" s="7">
        <f t="shared" si="77"/>
        <v>0</v>
      </c>
      <c r="M119" s="24">
        <f t="shared" si="78"/>
        <v>0</v>
      </c>
      <c r="N119" s="12">
        <v>0</v>
      </c>
      <c r="O119" s="12">
        <v>0</v>
      </c>
      <c r="P119" s="12">
        <v>0</v>
      </c>
      <c r="Q119" s="16"/>
      <c r="R119" s="16"/>
    </row>
    <row r="120" spans="2:18" ht="40.200000000000003" customHeight="1" x14ac:dyDescent="0.4">
      <c r="B120" s="38"/>
      <c r="C120" s="3"/>
      <c r="D120" s="11"/>
      <c r="E120" s="40" t="s">
        <v>16</v>
      </c>
      <c r="F120" s="13">
        <f t="shared" si="42"/>
        <v>0</v>
      </c>
      <c r="H120" s="76" t="str">
        <f t="shared" ref="H120:H124" si="79">IF(G120="","",(G120))</f>
        <v/>
      </c>
      <c r="I120" s="15" t="str">
        <f t="shared" ref="I120:I124" si="80">IF(H120="","",(H120+I119-J120))</f>
        <v/>
      </c>
      <c r="L120" s="7">
        <f t="shared" ref="L120:L124" si="81">C120</f>
        <v>0</v>
      </c>
      <c r="M120" s="24">
        <f t="shared" ref="M120:M124" si="82">G120</f>
        <v>0</v>
      </c>
      <c r="N120" s="12">
        <v>0</v>
      </c>
      <c r="O120" s="12">
        <v>0</v>
      </c>
      <c r="P120" s="12">
        <v>0</v>
      </c>
      <c r="Q120" s="16"/>
      <c r="R120" s="16"/>
    </row>
    <row r="121" spans="2:18" ht="40.200000000000003" customHeight="1" x14ac:dyDescent="0.4">
      <c r="B121" s="38"/>
      <c r="C121" s="3"/>
      <c r="D121" s="11"/>
      <c r="E121" s="40" t="s">
        <v>16</v>
      </c>
      <c r="F121" s="13">
        <f t="shared" si="42"/>
        <v>0</v>
      </c>
      <c r="H121" s="76" t="str">
        <f t="shared" si="79"/>
        <v/>
      </c>
      <c r="I121" s="15" t="str">
        <f t="shared" si="80"/>
        <v/>
      </c>
      <c r="L121" s="7">
        <f t="shared" si="81"/>
        <v>0</v>
      </c>
      <c r="M121" s="24">
        <f t="shared" si="82"/>
        <v>0</v>
      </c>
      <c r="N121" s="12">
        <v>0</v>
      </c>
      <c r="O121" s="12">
        <v>0</v>
      </c>
      <c r="P121" s="12">
        <v>0</v>
      </c>
      <c r="Q121" s="16"/>
      <c r="R121" s="16"/>
    </row>
    <row r="122" spans="2:18" ht="40.200000000000003" customHeight="1" x14ac:dyDescent="0.4">
      <c r="B122" s="38"/>
      <c r="C122" s="3"/>
      <c r="D122" s="11"/>
      <c r="E122" s="40" t="s">
        <v>16</v>
      </c>
      <c r="F122" s="13">
        <f t="shared" si="42"/>
        <v>0</v>
      </c>
      <c r="H122" s="76" t="str">
        <f t="shared" si="79"/>
        <v/>
      </c>
      <c r="I122" s="15" t="str">
        <f t="shared" si="80"/>
        <v/>
      </c>
      <c r="L122" s="7">
        <f t="shared" si="81"/>
        <v>0</v>
      </c>
      <c r="M122" s="24">
        <f t="shared" si="82"/>
        <v>0</v>
      </c>
      <c r="N122" s="12">
        <v>0</v>
      </c>
      <c r="O122" s="12">
        <v>0</v>
      </c>
      <c r="P122" s="12">
        <v>0</v>
      </c>
      <c r="Q122" s="16"/>
      <c r="R122" s="16"/>
    </row>
    <row r="123" spans="2:18" ht="40.200000000000003" customHeight="1" x14ac:dyDescent="0.4">
      <c r="B123" s="38"/>
      <c r="C123" s="3"/>
      <c r="D123" s="11"/>
      <c r="E123" s="40" t="s">
        <v>16</v>
      </c>
      <c r="F123" s="13">
        <f t="shared" si="42"/>
        <v>0</v>
      </c>
      <c r="H123" s="76" t="str">
        <f t="shared" si="79"/>
        <v/>
      </c>
      <c r="I123" s="15" t="str">
        <f t="shared" si="80"/>
        <v/>
      </c>
      <c r="L123" s="7">
        <f t="shared" si="81"/>
        <v>0</v>
      </c>
      <c r="M123" s="24">
        <f t="shared" si="82"/>
        <v>0</v>
      </c>
      <c r="N123" s="12">
        <v>0</v>
      </c>
      <c r="O123" s="12">
        <v>0</v>
      </c>
      <c r="P123" s="12">
        <v>0</v>
      </c>
      <c r="Q123" s="16"/>
      <c r="R123" s="16"/>
    </row>
    <row r="124" spans="2:18" ht="40.200000000000003" customHeight="1" x14ac:dyDescent="0.4">
      <c r="B124" s="38"/>
      <c r="C124" s="3"/>
      <c r="D124" s="11"/>
      <c r="E124" s="40" t="s">
        <v>16</v>
      </c>
      <c r="F124" s="13">
        <f t="shared" si="42"/>
        <v>0</v>
      </c>
      <c r="H124" s="76" t="str">
        <f t="shared" si="79"/>
        <v/>
      </c>
      <c r="I124" s="15" t="str">
        <f t="shared" si="80"/>
        <v/>
      </c>
      <c r="L124" s="7">
        <f t="shared" si="81"/>
        <v>0</v>
      </c>
      <c r="M124" s="24">
        <f t="shared" si="82"/>
        <v>0</v>
      </c>
      <c r="N124" s="12">
        <v>0</v>
      </c>
      <c r="O124" s="12">
        <v>0</v>
      </c>
      <c r="P124" s="12">
        <v>0</v>
      </c>
      <c r="Q124" s="16"/>
      <c r="R124" s="16"/>
    </row>
    <row r="125" spans="2:18" ht="40.200000000000003" customHeight="1" x14ac:dyDescent="0.4">
      <c r="B125" s="38"/>
      <c r="C125" s="3"/>
      <c r="D125" s="11"/>
      <c r="E125" s="40" t="s">
        <v>16</v>
      </c>
      <c r="F125" s="13">
        <f t="shared" si="42"/>
        <v>0</v>
      </c>
      <c r="H125" s="76" t="str">
        <f t="shared" ref="H125:H127" si="83">IF(G125="","",(G125))</f>
        <v/>
      </c>
      <c r="I125" s="15" t="str">
        <f t="shared" ref="I125:I127" si="84">IF(H125="","",(H125+I124-J125))</f>
        <v/>
      </c>
      <c r="L125" s="7">
        <f t="shared" ref="L125:L127" si="85">C125</f>
        <v>0</v>
      </c>
      <c r="M125" s="24">
        <f t="shared" ref="M125:M127" si="86">G125</f>
        <v>0</v>
      </c>
      <c r="N125" s="12">
        <v>0</v>
      </c>
      <c r="O125" s="12">
        <v>0</v>
      </c>
      <c r="P125" s="12">
        <v>0</v>
      </c>
      <c r="Q125" s="16"/>
      <c r="R125" s="16"/>
    </row>
    <row r="126" spans="2:18" ht="40.200000000000003" customHeight="1" x14ac:dyDescent="0.4">
      <c r="B126" s="38"/>
      <c r="C126" s="3"/>
      <c r="D126" s="11"/>
      <c r="E126" s="40" t="s">
        <v>16</v>
      </c>
      <c r="F126" s="13">
        <f t="shared" si="42"/>
        <v>0</v>
      </c>
      <c r="H126" s="76" t="str">
        <f t="shared" si="83"/>
        <v/>
      </c>
      <c r="I126" s="15" t="str">
        <f t="shared" si="84"/>
        <v/>
      </c>
      <c r="L126" s="7">
        <f t="shared" si="85"/>
        <v>0</v>
      </c>
      <c r="M126" s="24">
        <f t="shared" si="86"/>
        <v>0</v>
      </c>
      <c r="N126" s="12">
        <v>0</v>
      </c>
      <c r="O126" s="12">
        <v>0</v>
      </c>
      <c r="P126" s="12">
        <v>0</v>
      </c>
      <c r="Q126" s="16"/>
      <c r="R126" s="16"/>
    </row>
    <row r="127" spans="2:18" ht="40.200000000000003" customHeight="1" x14ac:dyDescent="0.4">
      <c r="B127" s="38"/>
      <c r="C127" s="3"/>
      <c r="D127" s="11"/>
      <c r="E127" s="40" t="s">
        <v>16</v>
      </c>
      <c r="F127" s="13">
        <f t="shared" si="42"/>
        <v>0</v>
      </c>
      <c r="H127" s="76" t="str">
        <f t="shared" si="83"/>
        <v/>
      </c>
      <c r="I127" s="15" t="str">
        <f t="shared" si="84"/>
        <v/>
      </c>
      <c r="L127" s="7">
        <f t="shared" si="85"/>
        <v>0</v>
      </c>
      <c r="M127" s="24">
        <f t="shared" si="86"/>
        <v>0</v>
      </c>
      <c r="N127" s="12">
        <v>0</v>
      </c>
      <c r="O127" s="12">
        <v>0</v>
      </c>
      <c r="P127" s="12">
        <v>0</v>
      </c>
      <c r="Q127" s="16"/>
      <c r="R127" s="16"/>
    </row>
    <row r="128" spans="2:18" ht="40.200000000000003" customHeight="1" x14ac:dyDescent="0.4">
      <c r="B128" s="38"/>
      <c r="C128" s="3"/>
      <c r="D128" s="11"/>
      <c r="E128" s="40" t="s">
        <v>16</v>
      </c>
      <c r="F128" s="13">
        <f t="shared" si="42"/>
        <v>0</v>
      </c>
      <c r="H128" s="76" t="str">
        <f t="shared" ref="H128:H131" si="87">IF(G128="","",(G128))</f>
        <v/>
      </c>
      <c r="I128" s="15" t="str">
        <f t="shared" ref="I128:I175" si="88">IF(H128="","",(H128+I127-J128))</f>
        <v/>
      </c>
      <c r="L128" s="7">
        <f t="shared" ref="L128:L131" si="89">C128</f>
        <v>0</v>
      </c>
      <c r="M128" s="24">
        <f t="shared" ref="M128:M131" si="90">G128</f>
        <v>0</v>
      </c>
      <c r="N128" s="12">
        <v>0</v>
      </c>
      <c r="O128" s="12">
        <v>0</v>
      </c>
      <c r="P128" s="12">
        <v>0</v>
      </c>
      <c r="Q128" s="16"/>
      <c r="R128" s="16"/>
    </row>
    <row r="129" spans="2:18" ht="40.200000000000003" customHeight="1" x14ac:dyDescent="0.4">
      <c r="B129" s="38"/>
      <c r="C129" s="3"/>
      <c r="D129" s="11"/>
      <c r="E129" s="40" t="s">
        <v>16</v>
      </c>
      <c r="F129" s="13">
        <f t="shared" si="42"/>
        <v>0</v>
      </c>
      <c r="H129" s="76" t="str">
        <f t="shared" si="87"/>
        <v/>
      </c>
      <c r="I129" s="15" t="str">
        <f t="shared" si="88"/>
        <v/>
      </c>
      <c r="L129" s="7">
        <f t="shared" si="89"/>
        <v>0</v>
      </c>
      <c r="M129" s="24">
        <f t="shared" si="90"/>
        <v>0</v>
      </c>
      <c r="N129" s="12">
        <v>0</v>
      </c>
      <c r="O129" s="12">
        <v>0</v>
      </c>
      <c r="P129" s="12">
        <v>0</v>
      </c>
      <c r="Q129" s="16"/>
      <c r="R129" s="16"/>
    </row>
    <row r="130" spans="2:18" ht="40.200000000000003" customHeight="1" x14ac:dyDescent="0.4">
      <c r="B130" s="38"/>
      <c r="C130" s="3"/>
      <c r="D130" s="11"/>
      <c r="E130" s="40" t="s">
        <v>16</v>
      </c>
      <c r="F130" s="13">
        <f t="shared" si="42"/>
        <v>0</v>
      </c>
      <c r="H130" s="76" t="str">
        <f t="shared" si="87"/>
        <v/>
      </c>
      <c r="I130" s="15" t="str">
        <f t="shared" si="88"/>
        <v/>
      </c>
      <c r="L130" s="7">
        <f t="shared" si="89"/>
        <v>0</v>
      </c>
      <c r="M130" s="24">
        <f t="shared" si="90"/>
        <v>0</v>
      </c>
      <c r="N130" s="12">
        <v>0</v>
      </c>
      <c r="O130" s="12">
        <v>0</v>
      </c>
      <c r="P130" s="12">
        <v>0</v>
      </c>
      <c r="Q130" s="16"/>
      <c r="R130" s="16"/>
    </row>
    <row r="131" spans="2:18" ht="40.200000000000003" customHeight="1" x14ac:dyDescent="0.4">
      <c r="B131" s="38"/>
      <c r="C131" s="3"/>
      <c r="D131" s="11"/>
      <c r="E131" s="40" t="s">
        <v>16</v>
      </c>
      <c r="F131" s="13">
        <f t="shared" si="42"/>
        <v>0</v>
      </c>
      <c r="H131" s="76" t="str">
        <f t="shared" si="87"/>
        <v/>
      </c>
      <c r="I131" s="15" t="str">
        <f t="shared" si="88"/>
        <v/>
      </c>
      <c r="L131" s="7">
        <f t="shared" si="89"/>
        <v>0</v>
      </c>
      <c r="M131" s="24">
        <f t="shared" si="90"/>
        <v>0</v>
      </c>
      <c r="N131" s="12">
        <v>0</v>
      </c>
      <c r="O131" s="12">
        <v>0</v>
      </c>
      <c r="P131" s="12">
        <v>0</v>
      </c>
      <c r="Q131" s="16"/>
      <c r="R131" s="16"/>
    </row>
    <row r="132" spans="2:18" ht="40.200000000000003" customHeight="1" x14ac:dyDescent="0.4">
      <c r="B132" s="38"/>
      <c r="C132" s="3"/>
      <c r="D132" s="11"/>
      <c r="E132" s="40" t="s">
        <v>16</v>
      </c>
      <c r="F132" s="13">
        <f t="shared" si="42"/>
        <v>0</v>
      </c>
      <c r="H132" s="76" t="str">
        <f t="shared" ref="H132" si="91">IF(G132="","",(G132))</f>
        <v/>
      </c>
      <c r="I132" s="15" t="str">
        <f t="shared" si="88"/>
        <v/>
      </c>
      <c r="L132" s="7">
        <f t="shared" ref="L132" si="92">C132</f>
        <v>0</v>
      </c>
      <c r="M132" s="24">
        <f t="shared" ref="M132" si="93">G132</f>
        <v>0</v>
      </c>
      <c r="N132" s="12">
        <v>0</v>
      </c>
      <c r="O132" s="12">
        <v>0</v>
      </c>
      <c r="P132" s="12">
        <v>0</v>
      </c>
      <c r="Q132" s="16"/>
      <c r="R132" s="16"/>
    </row>
    <row r="133" spans="2:18" ht="40.200000000000003" customHeight="1" x14ac:dyDescent="0.4">
      <c r="B133" s="38"/>
      <c r="C133" s="3"/>
      <c r="D133" s="11"/>
      <c r="E133" s="40" t="s">
        <v>16</v>
      </c>
      <c r="F133" s="13">
        <f t="shared" si="42"/>
        <v>0</v>
      </c>
      <c r="H133" s="76" t="str">
        <f t="shared" ref="H133:H142" si="94">IF(G133="","",(G133))</f>
        <v/>
      </c>
      <c r="I133" s="15" t="str">
        <f t="shared" si="88"/>
        <v/>
      </c>
      <c r="L133" s="7">
        <f t="shared" ref="L133:L142" si="95">C133</f>
        <v>0</v>
      </c>
      <c r="M133" s="24">
        <f t="shared" ref="M133:M142" si="96">G133</f>
        <v>0</v>
      </c>
      <c r="N133" s="12">
        <v>0</v>
      </c>
      <c r="O133" s="12">
        <v>0</v>
      </c>
      <c r="P133" s="12">
        <v>0</v>
      </c>
      <c r="Q133" s="16"/>
      <c r="R133" s="16"/>
    </row>
    <row r="134" spans="2:18" ht="40.200000000000003" customHeight="1" x14ac:dyDescent="0.4">
      <c r="B134" s="38"/>
      <c r="C134" s="3"/>
      <c r="D134" s="11"/>
      <c r="E134" s="40" t="s">
        <v>16</v>
      </c>
      <c r="F134" s="13">
        <f t="shared" si="42"/>
        <v>0</v>
      </c>
      <c r="H134" s="76" t="str">
        <f t="shared" si="94"/>
        <v/>
      </c>
      <c r="I134" s="15" t="str">
        <f t="shared" si="88"/>
        <v/>
      </c>
      <c r="L134" s="7">
        <f t="shared" si="95"/>
        <v>0</v>
      </c>
      <c r="M134" s="24">
        <f t="shared" si="96"/>
        <v>0</v>
      </c>
      <c r="N134" s="12">
        <v>0</v>
      </c>
      <c r="O134" s="12">
        <v>0</v>
      </c>
      <c r="P134" s="12">
        <v>0</v>
      </c>
      <c r="Q134" s="16"/>
      <c r="R134" s="16"/>
    </row>
    <row r="135" spans="2:18" ht="40.200000000000003" customHeight="1" x14ac:dyDescent="0.4">
      <c r="B135" s="38"/>
      <c r="C135" s="3"/>
      <c r="D135" s="11"/>
      <c r="E135" s="40" t="s">
        <v>16</v>
      </c>
      <c r="F135" s="13">
        <f t="shared" si="42"/>
        <v>0</v>
      </c>
      <c r="H135" s="76" t="str">
        <f t="shared" si="94"/>
        <v/>
      </c>
      <c r="I135" s="15" t="str">
        <f t="shared" si="88"/>
        <v/>
      </c>
      <c r="L135" s="7">
        <f t="shared" si="95"/>
        <v>0</v>
      </c>
      <c r="M135" s="24">
        <f t="shared" si="96"/>
        <v>0</v>
      </c>
      <c r="N135" s="12">
        <v>0</v>
      </c>
      <c r="O135" s="12">
        <v>0</v>
      </c>
      <c r="P135" s="12">
        <v>0</v>
      </c>
      <c r="Q135" s="16"/>
      <c r="R135" s="16"/>
    </row>
    <row r="136" spans="2:18" ht="40.200000000000003" customHeight="1" x14ac:dyDescent="0.4">
      <c r="B136" s="38"/>
      <c r="C136" s="3"/>
      <c r="D136" s="11"/>
      <c r="E136" s="40" t="s">
        <v>16</v>
      </c>
      <c r="F136" s="13">
        <f t="shared" ref="F136:F199" si="97">G136</f>
        <v>0</v>
      </c>
      <c r="H136" s="76" t="str">
        <f t="shared" si="94"/>
        <v/>
      </c>
      <c r="I136" s="15" t="str">
        <f t="shared" si="88"/>
        <v/>
      </c>
      <c r="L136" s="7">
        <f t="shared" si="95"/>
        <v>0</v>
      </c>
      <c r="M136" s="24">
        <f t="shared" si="96"/>
        <v>0</v>
      </c>
      <c r="N136" s="12">
        <v>0</v>
      </c>
      <c r="O136" s="12">
        <v>0</v>
      </c>
      <c r="P136" s="12">
        <v>0</v>
      </c>
      <c r="Q136" s="16"/>
      <c r="R136" s="16"/>
    </row>
    <row r="137" spans="2:18" ht="40.200000000000003" customHeight="1" x14ac:dyDescent="0.4">
      <c r="B137" s="38"/>
      <c r="C137" s="3"/>
      <c r="D137" s="11"/>
      <c r="E137" s="40" t="s">
        <v>16</v>
      </c>
      <c r="F137" s="13">
        <f t="shared" si="97"/>
        <v>0</v>
      </c>
      <c r="H137" s="76" t="str">
        <f t="shared" si="94"/>
        <v/>
      </c>
      <c r="I137" s="15" t="str">
        <f t="shared" si="88"/>
        <v/>
      </c>
      <c r="L137" s="7">
        <f t="shared" si="95"/>
        <v>0</v>
      </c>
      <c r="M137" s="24">
        <f t="shared" si="96"/>
        <v>0</v>
      </c>
      <c r="N137" s="12">
        <v>0</v>
      </c>
      <c r="O137" s="12">
        <v>0</v>
      </c>
      <c r="P137" s="12">
        <v>0</v>
      </c>
      <c r="Q137" s="16"/>
      <c r="R137" s="16"/>
    </row>
    <row r="138" spans="2:18" ht="40.200000000000003" customHeight="1" x14ac:dyDescent="0.4">
      <c r="B138" s="38"/>
      <c r="C138" s="3"/>
      <c r="D138" s="11"/>
      <c r="E138" s="40" t="s">
        <v>16</v>
      </c>
      <c r="F138" s="13">
        <f t="shared" si="97"/>
        <v>0</v>
      </c>
      <c r="H138" s="76" t="str">
        <f t="shared" si="94"/>
        <v/>
      </c>
      <c r="I138" s="15" t="str">
        <f t="shared" si="88"/>
        <v/>
      </c>
      <c r="L138" s="7">
        <f t="shared" si="95"/>
        <v>0</v>
      </c>
      <c r="M138" s="24">
        <f t="shared" si="96"/>
        <v>0</v>
      </c>
      <c r="N138" s="12">
        <v>0</v>
      </c>
      <c r="O138" s="12">
        <v>0</v>
      </c>
      <c r="P138" s="12">
        <v>0</v>
      </c>
      <c r="Q138" s="16"/>
      <c r="R138" s="16"/>
    </row>
    <row r="139" spans="2:18" ht="40.200000000000003" customHeight="1" x14ac:dyDescent="0.4">
      <c r="B139" s="38"/>
      <c r="C139" s="3"/>
      <c r="D139" s="11"/>
      <c r="E139" s="40" t="s">
        <v>16</v>
      </c>
      <c r="F139" s="13">
        <f t="shared" si="97"/>
        <v>0</v>
      </c>
      <c r="H139" s="76" t="str">
        <f t="shared" si="94"/>
        <v/>
      </c>
      <c r="I139" s="15" t="str">
        <f t="shared" si="88"/>
        <v/>
      </c>
      <c r="L139" s="7">
        <f t="shared" si="95"/>
        <v>0</v>
      </c>
      <c r="M139" s="24">
        <f t="shared" si="96"/>
        <v>0</v>
      </c>
      <c r="N139" s="12">
        <v>0</v>
      </c>
      <c r="O139" s="12">
        <v>0</v>
      </c>
      <c r="P139" s="12">
        <v>0</v>
      </c>
      <c r="Q139" s="16"/>
      <c r="R139" s="16"/>
    </row>
    <row r="140" spans="2:18" ht="40.200000000000003" customHeight="1" x14ac:dyDescent="0.4">
      <c r="B140" s="38"/>
      <c r="C140" s="3"/>
      <c r="D140" s="11"/>
      <c r="E140" s="40" t="s">
        <v>16</v>
      </c>
      <c r="F140" s="13">
        <f t="shared" si="97"/>
        <v>0</v>
      </c>
      <c r="H140" s="76" t="str">
        <f t="shared" si="94"/>
        <v/>
      </c>
      <c r="I140" s="15" t="str">
        <f t="shared" si="88"/>
        <v/>
      </c>
      <c r="L140" s="7">
        <f t="shared" si="95"/>
        <v>0</v>
      </c>
      <c r="M140" s="24">
        <f t="shared" si="96"/>
        <v>0</v>
      </c>
      <c r="N140" s="12">
        <v>0</v>
      </c>
      <c r="O140" s="12">
        <v>0</v>
      </c>
      <c r="P140" s="12">
        <v>0</v>
      </c>
      <c r="Q140" s="16"/>
      <c r="R140" s="16"/>
    </row>
    <row r="141" spans="2:18" ht="40.200000000000003" customHeight="1" x14ac:dyDescent="0.4">
      <c r="B141" s="38"/>
      <c r="C141" s="3"/>
      <c r="D141" s="11"/>
      <c r="E141" s="40" t="s">
        <v>16</v>
      </c>
      <c r="F141" s="13">
        <f t="shared" si="97"/>
        <v>0</v>
      </c>
      <c r="H141" s="76" t="str">
        <f t="shared" si="94"/>
        <v/>
      </c>
      <c r="I141" s="15" t="str">
        <f t="shared" si="88"/>
        <v/>
      </c>
      <c r="L141" s="7">
        <f t="shared" si="95"/>
        <v>0</v>
      </c>
      <c r="M141" s="24">
        <f t="shared" si="96"/>
        <v>0</v>
      </c>
      <c r="N141" s="12">
        <v>0</v>
      </c>
      <c r="O141" s="12">
        <v>0</v>
      </c>
      <c r="P141" s="12">
        <v>0</v>
      </c>
      <c r="Q141" s="16"/>
      <c r="R141" s="16"/>
    </row>
    <row r="142" spans="2:18" ht="40.200000000000003" customHeight="1" x14ac:dyDescent="0.4">
      <c r="B142" s="38"/>
      <c r="C142" s="3"/>
      <c r="D142" s="11"/>
      <c r="E142" s="40" t="s">
        <v>16</v>
      </c>
      <c r="F142" s="13">
        <f t="shared" si="97"/>
        <v>0</v>
      </c>
      <c r="H142" s="76" t="str">
        <f t="shared" si="94"/>
        <v/>
      </c>
      <c r="I142" s="15" t="str">
        <f t="shared" si="88"/>
        <v/>
      </c>
      <c r="L142" s="7">
        <f t="shared" si="95"/>
        <v>0</v>
      </c>
      <c r="M142" s="24">
        <f t="shared" si="96"/>
        <v>0</v>
      </c>
      <c r="N142" s="12">
        <v>0</v>
      </c>
      <c r="O142" s="12">
        <v>0</v>
      </c>
      <c r="P142" s="12">
        <v>0</v>
      </c>
      <c r="Q142" s="16"/>
      <c r="R142" s="16"/>
    </row>
    <row r="143" spans="2:18" ht="40.200000000000003" customHeight="1" x14ac:dyDescent="0.4">
      <c r="B143" s="38"/>
      <c r="C143" s="3"/>
      <c r="D143" s="11"/>
      <c r="E143" s="40" t="s">
        <v>16</v>
      </c>
      <c r="F143" s="13">
        <f t="shared" si="97"/>
        <v>0</v>
      </c>
      <c r="H143" s="76" t="str">
        <f t="shared" ref="H143:H148" si="98">IF(G143="","",(G143))</f>
        <v/>
      </c>
      <c r="I143" s="15" t="str">
        <f t="shared" si="88"/>
        <v/>
      </c>
      <c r="L143" s="7">
        <f t="shared" ref="L143:L148" si="99">C143</f>
        <v>0</v>
      </c>
      <c r="M143" s="24">
        <f t="shared" ref="M143:M148" si="100">G143</f>
        <v>0</v>
      </c>
      <c r="N143" s="12">
        <v>0</v>
      </c>
      <c r="O143" s="12">
        <v>0</v>
      </c>
      <c r="P143" s="12">
        <v>0</v>
      </c>
      <c r="Q143" s="16"/>
      <c r="R143" s="16"/>
    </row>
    <row r="144" spans="2:18" ht="40.200000000000003" customHeight="1" x14ac:dyDescent="0.4">
      <c r="B144" s="38"/>
      <c r="C144" s="3"/>
      <c r="D144" s="11"/>
      <c r="E144" s="40" t="s">
        <v>16</v>
      </c>
      <c r="F144" s="13">
        <f t="shared" si="97"/>
        <v>0</v>
      </c>
      <c r="H144" s="76" t="str">
        <f t="shared" si="98"/>
        <v/>
      </c>
      <c r="I144" s="15" t="str">
        <f t="shared" si="88"/>
        <v/>
      </c>
      <c r="L144" s="7">
        <f t="shared" si="99"/>
        <v>0</v>
      </c>
      <c r="M144" s="24">
        <f t="shared" si="100"/>
        <v>0</v>
      </c>
      <c r="N144" s="12">
        <v>0</v>
      </c>
      <c r="O144" s="12">
        <v>0</v>
      </c>
      <c r="P144" s="12">
        <v>0</v>
      </c>
      <c r="Q144" s="16"/>
      <c r="R144" s="16"/>
    </row>
    <row r="145" spans="2:18" ht="40.200000000000003" customHeight="1" x14ac:dyDescent="0.4">
      <c r="B145" s="38"/>
      <c r="C145" s="3"/>
      <c r="D145" s="11"/>
      <c r="E145" s="40" t="s">
        <v>16</v>
      </c>
      <c r="F145" s="13">
        <f t="shared" si="97"/>
        <v>0</v>
      </c>
      <c r="H145" s="76" t="str">
        <f t="shared" si="98"/>
        <v/>
      </c>
      <c r="I145" s="15" t="str">
        <f t="shared" si="88"/>
        <v/>
      </c>
      <c r="L145" s="7">
        <f t="shared" si="99"/>
        <v>0</v>
      </c>
      <c r="M145" s="24">
        <f t="shared" si="100"/>
        <v>0</v>
      </c>
      <c r="N145" s="12">
        <v>0</v>
      </c>
      <c r="O145" s="12">
        <v>0</v>
      </c>
      <c r="P145" s="12">
        <v>0</v>
      </c>
      <c r="Q145" s="16"/>
      <c r="R145" s="16"/>
    </row>
    <row r="146" spans="2:18" ht="40.200000000000003" customHeight="1" x14ac:dyDescent="0.4">
      <c r="B146" s="38"/>
      <c r="C146" s="3"/>
      <c r="D146" s="11"/>
      <c r="E146" s="40" t="s">
        <v>16</v>
      </c>
      <c r="F146" s="13">
        <f t="shared" si="97"/>
        <v>0</v>
      </c>
      <c r="H146" s="76" t="str">
        <f t="shared" si="98"/>
        <v/>
      </c>
      <c r="I146" s="15" t="str">
        <f t="shared" si="88"/>
        <v/>
      </c>
      <c r="L146" s="7">
        <f t="shared" si="99"/>
        <v>0</v>
      </c>
      <c r="M146" s="24">
        <f t="shared" si="100"/>
        <v>0</v>
      </c>
      <c r="N146" s="12">
        <v>0</v>
      </c>
      <c r="O146" s="12">
        <v>0</v>
      </c>
      <c r="P146" s="12">
        <v>0</v>
      </c>
      <c r="Q146" s="16"/>
      <c r="R146" s="16"/>
    </row>
    <row r="147" spans="2:18" ht="40.200000000000003" customHeight="1" x14ac:dyDescent="0.4">
      <c r="B147" s="38"/>
      <c r="C147" s="3"/>
      <c r="D147" s="11"/>
      <c r="E147" s="40" t="s">
        <v>16</v>
      </c>
      <c r="F147" s="13">
        <f t="shared" si="97"/>
        <v>0</v>
      </c>
      <c r="H147" s="76" t="str">
        <f t="shared" si="98"/>
        <v/>
      </c>
      <c r="I147" s="15" t="str">
        <f t="shared" si="88"/>
        <v/>
      </c>
      <c r="L147" s="7">
        <f t="shared" si="99"/>
        <v>0</v>
      </c>
      <c r="M147" s="24">
        <f t="shared" si="100"/>
        <v>0</v>
      </c>
      <c r="N147" s="12">
        <v>0</v>
      </c>
      <c r="O147" s="12">
        <v>0</v>
      </c>
      <c r="P147" s="12">
        <v>0</v>
      </c>
      <c r="Q147" s="16"/>
      <c r="R147" s="16"/>
    </row>
    <row r="148" spans="2:18" ht="40.200000000000003" customHeight="1" x14ac:dyDescent="0.4">
      <c r="B148" s="38"/>
      <c r="C148" s="3"/>
      <c r="D148" s="11"/>
      <c r="E148" s="40" t="s">
        <v>16</v>
      </c>
      <c r="F148" s="13">
        <f t="shared" si="97"/>
        <v>0</v>
      </c>
      <c r="H148" s="76" t="str">
        <f t="shared" si="98"/>
        <v/>
      </c>
      <c r="I148" s="15" t="str">
        <f t="shared" si="88"/>
        <v/>
      </c>
      <c r="L148" s="7">
        <f t="shared" si="99"/>
        <v>0</v>
      </c>
      <c r="M148" s="24">
        <f t="shared" si="100"/>
        <v>0</v>
      </c>
      <c r="N148" s="12">
        <v>0</v>
      </c>
      <c r="O148" s="12">
        <v>0</v>
      </c>
      <c r="P148" s="12">
        <v>0</v>
      </c>
      <c r="Q148" s="16"/>
      <c r="R148" s="16"/>
    </row>
    <row r="149" spans="2:18" ht="40.200000000000003" customHeight="1" x14ac:dyDescent="0.4">
      <c r="B149" s="38"/>
      <c r="C149" s="3"/>
      <c r="D149" s="11"/>
      <c r="E149" s="40" t="s">
        <v>16</v>
      </c>
      <c r="F149" s="13">
        <f t="shared" si="97"/>
        <v>0</v>
      </c>
      <c r="H149" s="76" t="str">
        <f t="shared" ref="H149:H154" si="101">IF(G149="","",(G149))</f>
        <v/>
      </c>
      <c r="I149" s="15" t="str">
        <f t="shared" si="88"/>
        <v/>
      </c>
      <c r="L149" s="7">
        <f t="shared" ref="L149:L154" si="102">C149</f>
        <v>0</v>
      </c>
      <c r="M149" s="24">
        <f t="shared" ref="M149:M154" si="103">G149</f>
        <v>0</v>
      </c>
      <c r="N149" s="12">
        <v>0</v>
      </c>
      <c r="O149" s="12">
        <v>0</v>
      </c>
      <c r="P149" s="12">
        <v>0</v>
      </c>
      <c r="Q149" s="16"/>
      <c r="R149" s="16"/>
    </row>
    <row r="150" spans="2:18" ht="40.200000000000003" customHeight="1" x14ac:dyDescent="0.4">
      <c r="B150" s="38"/>
      <c r="C150" s="3"/>
      <c r="D150" s="11"/>
      <c r="E150" s="40" t="s">
        <v>16</v>
      </c>
      <c r="F150" s="13">
        <f t="shared" si="97"/>
        <v>0</v>
      </c>
      <c r="G150" s="82"/>
      <c r="H150" s="76" t="str">
        <f t="shared" si="101"/>
        <v/>
      </c>
      <c r="I150" s="15" t="str">
        <f t="shared" si="88"/>
        <v/>
      </c>
      <c r="L150" s="7">
        <f t="shared" si="102"/>
        <v>0</v>
      </c>
      <c r="M150" s="24">
        <f t="shared" si="103"/>
        <v>0</v>
      </c>
      <c r="N150" s="12">
        <v>0</v>
      </c>
      <c r="O150" s="12">
        <v>0</v>
      </c>
      <c r="P150" s="12">
        <v>0</v>
      </c>
      <c r="Q150" s="16"/>
      <c r="R150" s="16"/>
    </row>
    <row r="151" spans="2:18" ht="40.200000000000003" customHeight="1" x14ac:dyDescent="0.4">
      <c r="B151" s="38"/>
      <c r="C151" s="3"/>
      <c r="D151" s="11"/>
      <c r="E151" s="40" t="s">
        <v>16</v>
      </c>
      <c r="F151" s="13">
        <f t="shared" si="97"/>
        <v>0</v>
      </c>
      <c r="G151" s="82"/>
      <c r="H151" s="76" t="str">
        <f t="shared" si="101"/>
        <v/>
      </c>
      <c r="I151" s="15" t="str">
        <f t="shared" si="88"/>
        <v/>
      </c>
      <c r="L151" s="7">
        <f t="shared" si="102"/>
        <v>0</v>
      </c>
      <c r="M151" s="24">
        <f t="shared" si="103"/>
        <v>0</v>
      </c>
      <c r="N151" s="12">
        <v>0</v>
      </c>
      <c r="O151" s="12">
        <v>0</v>
      </c>
      <c r="P151" s="12">
        <v>0</v>
      </c>
      <c r="Q151" s="16"/>
      <c r="R151" s="16"/>
    </row>
    <row r="152" spans="2:18" ht="40.200000000000003" customHeight="1" x14ac:dyDescent="0.4">
      <c r="B152" s="38"/>
      <c r="C152" s="3"/>
      <c r="D152" s="11"/>
      <c r="E152" s="40" t="s">
        <v>16</v>
      </c>
      <c r="F152" s="13">
        <f t="shared" si="97"/>
        <v>0</v>
      </c>
      <c r="G152" s="82"/>
      <c r="H152" s="76" t="str">
        <f t="shared" si="101"/>
        <v/>
      </c>
      <c r="I152" s="15" t="str">
        <f t="shared" si="88"/>
        <v/>
      </c>
      <c r="L152" s="7">
        <f t="shared" si="102"/>
        <v>0</v>
      </c>
      <c r="M152" s="24">
        <f t="shared" si="103"/>
        <v>0</v>
      </c>
      <c r="N152" s="12">
        <v>0</v>
      </c>
      <c r="O152" s="12">
        <v>0</v>
      </c>
      <c r="P152" s="12">
        <v>0</v>
      </c>
      <c r="Q152" s="16"/>
      <c r="R152" s="16"/>
    </row>
    <row r="153" spans="2:18" ht="40.200000000000003" customHeight="1" x14ac:dyDescent="0.4">
      <c r="B153" s="38"/>
      <c r="C153" s="3"/>
      <c r="D153" s="11"/>
      <c r="E153" s="40" t="s">
        <v>16</v>
      </c>
      <c r="F153" s="13">
        <f t="shared" si="97"/>
        <v>0</v>
      </c>
      <c r="G153" s="83"/>
      <c r="H153" s="76" t="str">
        <f t="shared" si="101"/>
        <v/>
      </c>
      <c r="I153" s="15" t="str">
        <f t="shared" si="88"/>
        <v/>
      </c>
      <c r="L153" s="7">
        <f t="shared" si="102"/>
        <v>0</v>
      </c>
      <c r="M153" s="24">
        <f t="shared" si="103"/>
        <v>0</v>
      </c>
      <c r="N153" s="12">
        <v>0</v>
      </c>
      <c r="O153" s="12">
        <v>0</v>
      </c>
      <c r="P153" s="12">
        <v>0</v>
      </c>
      <c r="Q153" s="16"/>
      <c r="R153" s="16"/>
    </row>
    <row r="154" spans="2:18" ht="40.200000000000003" customHeight="1" x14ac:dyDescent="0.4">
      <c r="B154" s="38"/>
      <c r="C154" s="3"/>
      <c r="D154" s="11"/>
      <c r="E154" s="40" t="s">
        <v>16</v>
      </c>
      <c r="F154" s="13">
        <f t="shared" si="97"/>
        <v>0</v>
      </c>
      <c r="G154" s="83"/>
      <c r="H154" s="76" t="str">
        <f t="shared" si="101"/>
        <v/>
      </c>
      <c r="I154" s="15" t="str">
        <f t="shared" si="88"/>
        <v/>
      </c>
      <c r="L154" s="7">
        <f t="shared" si="102"/>
        <v>0</v>
      </c>
      <c r="M154" s="24">
        <f t="shared" si="103"/>
        <v>0</v>
      </c>
      <c r="N154" s="12">
        <v>0</v>
      </c>
      <c r="O154" s="12">
        <v>0</v>
      </c>
      <c r="P154" s="12">
        <v>0</v>
      </c>
      <c r="Q154" s="16"/>
      <c r="R154" s="16"/>
    </row>
    <row r="155" spans="2:18" ht="40.200000000000003" customHeight="1" x14ac:dyDescent="0.4">
      <c r="B155" s="38"/>
      <c r="C155" s="3"/>
      <c r="D155" s="11"/>
      <c r="E155" s="40" t="s">
        <v>16</v>
      </c>
      <c r="F155" s="13">
        <f t="shared" si="97"/>
        <v>0</v>
      </c>
      <c r="G155" s="83"/>
      <c r="H155" s="76" t="str">
        <f t="shared" ref="H155:H159" si="104">IF(G155="","",(G155))</f>
        <v/>
      </c>
      <c r="I155" s="15" t="str">
        <f t="shared" si="88"/>
        <v/>
      </c>
      <c r="L155" s="7">
        <f t="shared" ref="L155:L159" si="105">C155</f>
        <v>0</v>
      </c>
      <c r="M155" s="24">
        <f t="shared" ref="M155:M159" si="106">G155</f>
        <v>0</v>
      </c>
      <c r="N155" s="12">
        <v>0</v>
      </c>
      <c r="O155" s="12">
        <v>0</v>
      </c>
      <c r="P155" s="12">
        <v>0</v>
      </c>
      <c r="Q155" s="16"/>
      <c r="R155" s="16"/>
    </row>
    <row r="156" spans="2:18" ht="40.200000000000003" customHeight="1" x14ac:dyDescent="0.4">
      <c r="B156" s="38"/>
      <c r="C156" s="3"/>
      <c r="D156" s="11"/>
      <c r="E156" s="40" t="s">
        <v>16</v>
      </c>
      <c r="F156" s="13">
        <f t="shared" si="97"/>
        <v>0</v>
      </c>
      <c r="G156" s="82"/>
      <c r="H156" s="76" t="str">
        <f t="shared" si="104"/>
        <v/>
      </c>
      <c r="I156" s="15" t="str">
        <f t="shared" si="88"/>
        <v/>
      </c>
      <c r="L156" s="7">
        <f t="shared" si="105"/>
        <v>0</v>
      </c>
      <c r="M156" s="24">
        <f t="shared" si="106"/>
        <v>0</v>
      </c>
      <c r="N156" s="12">
        <v>0</v>
      </c>
      <c r="O156" s="12">
        <v>0</v>
      </c>
      <c r="P156" s="12">
        <v>0</v>
      </c>
      <c r="Q156" s="16"/>
      <c r="R156" s="16"/>
    </row>
    <row r="157" spans="2:18" ht="40.200000000000003" customHeight="1" x14ac:dyDescent="0.4">
      <c r="B157" s="38"/>
      <c r="C157" s="3"/>
      <c r="D157" s="11"/>
      <c r="E157" s="40" t="s">
        <v>16</v>
      </c>
      <c r="F157" s="13">
        <f t="shared" si="97"/>
        <v>0</v>
      </c>
      <c r="G157" s="82"/>
      <c r="H157" s="76" t="str">
        <f t="shared" si="104"/>
        <v/>
      </c>
      <c r="I157" s="15" t="str">
        <f t="shared" si="88"/>
        <v/>
      </c>
      <c r="L157" s="7">
        <f t="shared" si="105"/>
        <v>0</v>
      </c>
      <c r="M157" s="24">
        <f t="shared" si="106"/>
        <v>0</v>
      </c>
      <c r="N157" s="12">
        <v>0</v>
      </c>
      <c r="O157" s="12">
        <v>0</v>
      </c>
      <c r="P157" s="12">
        <v>0</v>
      </c>
      <c r="Q157" s="16"/>
      <c r="R157" s="16"/>
    </row>
    <row r="158" spans="2:18" ht="40.200000000000003" customHeight="1" x14ac:dyDescent="0.4">
      <c r="B158" s="38"/>
      <c r="C158" s="3"/>
      <c r="D158" s="11"/>
      <c r="E158" s="40" t="s">
        <v>16</v>
      </c>
      <c r="F158" s="13">
        <f t="shared" si="97"/>
        <v>0</v>
      </c>
      <c r="G158" s="82"/>
      <c r="H158" s="76" t="str">
        <f t="shared" si="104"/>
        <v/>
      </c>
      <c r="I158" s="15" t="str">
        <f t="shared" si="88"/>
        <v/>
      </c>
      <c r="L158" s="7">
        <f t="shared" si="105"/>
        <v>0</v>
      </c>
      <c r="M158" s="24">
        <f t="shared" si="106"/>
        <v>0</v>
      </c>
      <c r="N158" s="12">
        <v>0</v>
      </c>
      <c r="O158" s="12">
        <v>0</v>
      </c>
      <c r="P158" s="12">
        <v>0</v>
      </c>
      <c r="Q158" s="16"/>
      <c r="R158" s="16"/>
    </row>
    <row r="159" spans="2:18" ht="40.200000000000003" customHeight="1" x14ac:dyDescent="0.4">
      <c r="B159" s="38"/>
      <c r="C159" s="3"/>
      <c r="D159" s="11"/>
      <c r="E159" s="40" t="s">
        <v>16</v>
      </c>
      <c r="F159" s="13">
        <f t="shared" si="97"/>
        <v>0</v>
      </c>
      <c r="G159" s="83"/>
      <c r="H159" s="76" t="str">
        <f t="shared" si="104"/>
        <v/>
      </c>
      <c r="I159" s="15" t="str">
        <f t="shared" si="88"/>
        <v/>
      </c>
      <c r="L159" s="7">
        <f t="shared" si="105"/>
        <v>0</v>
      </c>
      <c r="M159" s="24">
        <f t="shared" si="106"/>
        <v>0</v>
      </c>
      <c r="N159" s="12">
        <v>0</v>
      </c>
      <c r="O159" s="12">
        <v>0</v>
      </c>
      <c r="P159" s="12">
        <v>0</v>
      </c>
      <c r="Q159" s="16"/>
      <c r="R159" s="16"/>
    </row>
    <row r="160" spans="2:18" ht="40.200000000000003" customHeight="1" x14ac:dyDescent="0.4">
      <c r="B160" s="38"/>
      <c r="C160" s="3"/>
      <c r="D160" s="11"/>
      <c r="E160" s="40" t="s">
        <v>16</v>
      </c>
      <c r="F160" s="13">
        <f t="shared" si="97"/>
        <v>0</v>
      </c>
      <c r="G160" s="82"/>
      <c r="H160" s="76" t="str">
        <f t="shared" ref="H160:H163" si="107">IF(G160="","",(G160))</f>
        <v/>
      </c>
      <c r="I160" s="15" t="str">
        <f t="shared" si="88"/>
        <v/>
      </c>
      <c r="L160" s="7">
        <f t="shared" ref="L160:L163" si="108">C160</f>
        <v>0</v>
      </c>
      <c r="M160" s="24">
        <f t="shared" ref="M160:M163" si="109">G160</f>
        <v>0</v>
      </c>
      <c r="N160" s="12">
        <v>0</v>
      </c>
      <c r="O160" s="12">
        <v>0</v>
      </c>
      <c r="P160" s="12">
        <v>0</v>
      </c>
      <c r="Q160" s="16"/>
      <c r="R160" s="16"/>
    </row>
    <row r="161" spans="2:18" ht="40.200000000000003" customHeight="1" x14ac:dyDescent="0.4">
      <c r="B161" s="38"/>
      <c r="C161" s="3"/>
      <c r="D161" s="11"/>
      <c r="E161" s="40" t="s">
        <v>16</v>
      </c>
      <c r="F161" s="13">
        <f t="shared" si="97"/>
        <v>0</v>
      </c>
      <c r="G161" s="82"/>
      <c r="H161" s="76" t="str">
        <f t="shared" si="107"/>
        <v/>
      </c>
      <c r="I161" s="15" t="str">
        <f t="shared" si="88"/>
        <v/>
      </c>
      <c r="L161" s="7">
        <f t="shared" si="108"/>
        <v>0</v>
      </c>
      <c r="M161" s="24">
        <f t="shared" si="109"/>
        <v>0</v>
      </c>
      <c r="N161" s="12">
        <v>0</v>
      </c>
      <c r="O161" s="12">
        <v>0</v>
      </c>
      <c r="P161" s="12">
        <v>0</v>
      </c>
      <c r="Q161" s="16"/>
      <c r="R161" s="16"/>
    </row>
    <row r="162" spans="2:18" ht="40.200000000000003" customHeight="1" x14ac:dyDescent="0.4">
      <c r="B162" s="38"/>
      <c r="C162" s="3"/>
      <c r="D162" s="11"/>
      <c r="E162" s="40" t="s">
        <v>16</v>
      </c>
      <c r="F162" s="13">
        <f t="shared" si="97"/>
        <v>0</v>
      </c>
      <c r="G162" s="82"/>
      <c r="H162" s="76" t="str">
        <f t="shared" si="107"/>
        <v/>
      </c>
      <c r="I162" s="15" t="str">
        <f t="shared" si="88"/>
        <v/>
      </c>
      <c r="L162" s="7">
        <f t="shared" si="108"/>
        <v>0</v>
      </c>
      <c r="M162" s="24">
        <f t="shared" si="109"/>
        <v>0</v>
      </c>
      <c r="N162" s="12">
        <v>0</v>
      </c>
      <c r="O162" s="12">
        <v>0</v>
      </c>
      <c r="P162" s="12">
        <v>0</v>
      </c>
      <c r="Q162" s="16"/>
      <c r="R162" s="16"/>
    </row>
    <row r="163" spans="2:18" ht="40.200000000000003" customHeight="1" x14ac:dyDescent="0.4">
      <c r="B163" s="38"/>
      <c r="C163" s="3"/>
      <c r="D163" s="11"/>
      <c r="E163" s="40" t="s">
        <v>16</v>
      </c>
      <c r="F163" s="13">
        <f t="shared" si="97"/>
        <v>0</v>
      </c>
      <c r="G163" s="83"/>
      <c r="H163" s="76" t="str">
        <f t="shared" si="107"/>
        <v/>
      </c>
      <c r="I163" s="15" t="str">
        <f t="shared" si="88"/>
        <v/>
      </c>
      <c r="L163" s="7">
        <f t="shared" si="108"/>
        <v>0</v>
      </c>
      <c r="M163" s="24">
        <f t="shared" si="109"/>
        <v>0</v>
      </c>
      <c r="N163" s="12">
        <v>0</v>
      </c>
      <c r="O163" s="12">
        <v>0</v>
      </c>
      <c r="P163" s="12">
        <v>0</v>
      </c>
      <c r="Q163" s="16"/>
      <c r="R163" s="16"/>
    </row>
    <row r="164" spans="2:18" ht="40.200000000000003" customHeight="1" x14ac:dyDescent="0.4">
      <c r="B164" s="38"/>
      <c r="C164" s="3"/>
      <c r="D164" s="36"/>
      <c r="E164" s="40" t="s">
        <v>16</v>
      </c>
      <c r="F164" s="13">
        <f t="shared" si="97"/>
        <v>0</v>
      </c>
      <c r="G164" s="82"/>
      <c r="H164" s="76" t="str">
        <f t="shared" ref="H164:H175" si="110">IF(G164="","",(G164))</f>
        <v/>
      </c>
      <c r="I164" s="15" t="str">
        <f t="shared" si="88"/>
        <v/>
      </c>
      <c r="L164" s="7">
        <f t="shared" ref="L164:L175" si="111">C164</f>
        <v>0</v>
      </c>
      <c r="M164" s="24">
        <f t="shared" ref="M164:M175" si="112">G164</f>
        <v>0</v>
      </c>
      <c r="N164" s="12">
        <v>0</v>
      </c>
      <c r="O164" s="12">
        <v>0</v>
      </c>
      <c r="P164" s="12">
        <v>0</v>
      </c>
      <c r="Q164" s="16"/>
      <c r="R164" s="16"/>
    </row>
    <row r="165" spans="2:18" ht="40.200000000000003" customHeight="1" x14ac:dyDescent="0.4">
      <c r="B165" s="38"/>
      <c r="C165" s="3"/>
      <c r="D165" s="11"/>
      <c r="E165" s="40" t="s">
        <v>16</v>
      </c>
      <c r="F165" s="13">
        <f t="shared" si="97"/>
        <v>0</v>
      </c>
      <c r="G165" s="82"/>
      <c r="H165" s="76" t="str">
        <f t="shared" si="110"/>
        <v/>
      </c>
      <c r="I165" s="15" t="str">
        <f t="shared" si="88"/>
        <v/>
      </c>
      <c r="L165" s="7">
        <f t="shared" si="111"/>
        <v>0</v>
      </c>
      <c r="M165" s="24">
        <f t="shared" si="112"/>
        <v>0</v>
      </c>
      <c r="N165" s="12">
        <v>0</v>
      </c>
      <c r="O165" s="12">
        <v>0</v>
      </c>
      <c r="P165" s="12">
        <v>0</v>
      </c>
      <c r="Q165" s="16"/>
      <c r="R165" s="16"/>
    </row>
    <row r="166" spans="2:18" ht="40.200000000000003" customHeight="1" x14ac:dyDescent="0.4">
      <c r="B166" s="38"/>
      <c r="C166" s="3"/>
      <c r="D166" s="36"/>
      <c r="E166" s="40" t="s">
        <v>16</v>
      </c>
      <c r="F166" s="13">
        <f t="shared" si="97"/>
        <v>0</v>
      </c>
      <c r="G166" s="82"/>
      <c r="H166" s="76" t="str">
        <f t="shared" si="110"/>
        <v/>
      </c>
      <c r="I166" s="15" t="str">
        <f t="shared" si="88"/>
        <v/>
      </c>
      <c r="L166" s="7">
        <f t="shared" si="111"/>
        <v>0</v>
      </c>
      <c r="M166" s="24">
        <f t="shared" si="112"/>
        <v>0</v>
      </c>
      <c r="N166" s="12">
        <v>0</v>
      </c>
      <c r="O166" s="12">
        <v>0</v>
      </c>
      <c r="P166" s="12">
        <v>0</v>
      </c>
      <c r="Q166" s="16"/>
      <c r="R166" s="16"/>
    </row>
    <row r="167" spans="2:18" ht="40.200000000000003" customHeight="1" x14ac:dyDescent="0.4">
      <c r="B167" s="38"/>
      <c r="C167" s="3"/>
      <c r="D167" s="36"/>
      <c r="E167" s="40" t="s">
        <v>16</v>
      </c>
      <c r="F167" s="13">
        <f t="shared" si="97"/>
        <v>0</v>
      </c>
      <c r="G167" s="83"/>
      <c r="H167" s="76" t="str">
        <f t="shared" si="110"/>
        <v/>
      </c>
      <c r="I167" s="15" t="str">
        <f t="shared" si="88"/>
        <v/>
      </c>
      <c r="L167" s="7">
        <f t="shared" si="111"/>
        <v>0</v>
      </c>
      <c r="M167" s="24">
        <f t="shared" si="112"/>
        <v>0</v>
      </c>
      <c r="N167" s="12">
        <v>0</v>
      </c>
      <c r="O167" s="12">
        <v>0</v>
      </c>
      <c r="P167" s="12">
        <v>0</v>
      </c>
      <c r="Q167" s="16"/>
      <c r="R167" s="16"/>
    </row>
    <row r="168" spans="2:18" ht="40.200000000000003" customHeight="1" x14ac:dyDescent="0.4">
      <c r="B168" s="38"/>
      <c r="C168" s="3"/>
      <c r="D168" s="36"/>
      <c r="E168" s="40" t="s">
        <v>16</v>
      </c>
      <c r="F168" s="13">
        <f t="shared" si="97"/>
        <v>0</v>
      </c>
      <c r="G168" s="82"/>
      <c r="H168" s="76" t="str">
        <f t="shared" si="110"/>
        <v/>
      </c>
      <c r="I168" s="15" t="str">
        <f t="shared" si="88"/>
        <v/>
      </c>
      <c r="L168" s="7">
        <f t="shared" si="111"/>
        <v>0</v>
      </c>
      <c r="M168" s="24">
        <f t="shared" si="112"/>
        <v>0</v>
      </c>
      <c r="N168" s="12">
        <v>0</v>
      </c>
      <c r="O168" s="12">
        <v>0</v>
      </c>
      <c r="P168" s="12">
        <v>0</v>
      </c>
      <c r="Q168" s="16"/>
      <c r="R168" s="16"/>
    </row>
    <row r="169" spans="2:18" ht="40.200000000000003" customHeight="1" x14ac:dyDescent="0.4">
      <c r="B169" s="38"/>
      <c r="C169" s="3"/>
      <c r="D169" s="36"/>
      <c r="E169" s="40" t="s">
        <v>16</v>
      </c>
      <c r="F169" s="13">
        <f t="shared" si="97"/>
        <v>0</v>
      </c>
      <c r="G169" s="82"/>
      <c r="H169" s="76" t="str">
        <f t="shared" si="110"/>
        <v/>
      </c>
      <c r="I169" s="15" t="str">
        <f t="shared" si="88"/>
        <v/>
      </c>
      <c r="L169" s="7">
        <f t="shared" si="111"/>
        <v>0</v>
      </c>
      <c r="M169" s="24">
        <f t="shared" si="112"/>
        <v>0</v>
      </c>
      <c r="N169" s="12">
        <v>0</v>
      </c>
      <c r="O169" s="12">
        <v>0</v>
      </c>
      <c r="P169" s="12">
        <v>0</v>
      </c>
      <c r="Q169" s="16"/>
      <c r="R169" s="16"/>
    </row>
    <row r="170" spans="2:18" ht="40.200000000000003" customHeight="1" x14ac:dyDescent="0.4">
      <c r="B170" s="38"/>
      <c r="C170" s="3"/>
      <c r="D170" s="36"/>
      <c r="E170" s="40" t="s">
        <v>16</v>
      </c>
      <c r="F170" s="13">
        <f t="shared" si="97"/>
        <v>0</v>
      </c>
      <c r="G170" s="82"/>
      <c r="H170" s="76" t="str">
        <f t="shared" si="110"/>
        <v/>
      </c>
      <c r="I170" s="15" t="str">
        <f t="shared" si="88"/>
        <v/>
      </c>
      <c r="L170" s="7">
        <f t="shared" si="111"/>
        <v>0</v>
      </c>
      <c r="M170" s="24">
        <f t="shared" si="112"/>
        <v>0</v>
      </c>
      <c r="N170" s="12">
        <v>0</v>
      </c>
      <c r="O170" s="12">
        <v>0</v>
      </c>
      <c r="P170" s="12">
        <v>0</v>
      </c>
      <c r="Q170" s="16"/>
      <c r="R170" s="16"/>
    </row>
    <row r="171" spans="2:18" ht="40.200000000000003" customHeight="1" x14ac:dyDescent="0.4">
      <c r="B171" s="38"/>
      <c r="C171" s="3"/>
      <c r="D171" s="36"/>
      <c r="E171" s="40" t="s">
        <v>16</v>
      </c>
      <c r="F171" s="13">
        <f t="shared" si="97"/>
        <v>0</v>
      </c>
      <c r="G171" s="83"/>
      <c r="H171" s="76" t="str">
        <f t="shared" si="110"/>
        <v/>
      </c>
      <c r="I171" s="15" t="str">
        <f t="shared" si="88"/>
        <v/>
      </c>
      <c r="L171" s="7">
        <f t="shared" si="111"/>
        <v>0</v>
      </c>
      <c r="M171" s="24">
        <f t="shared" si="112"/>
        <v>0</v>
      </c>
      <c r="N171" s="12">
        <v>0</v>
      </c>
      <c r="O171" s="12">
        <v>0</v>
      </c>
      <c r="P171" s="12">
        <v>0</v>
      </c>
      <c r="Q171" s="16"/>
      <c r="R171" s="16"/>
    </row>
    <row r="172" spans="2:18" ht="40.200000000000003" customHeight="1" x14ac:dyDescent="0.4">
      <c r="B172" s="38"/>
      <c r="C172" s="3"/>
      <c r="D172" s="36"/>
      <c r="E172" s="40" t="s">
        <v>16</v>
      </c>
      <c r="F172" s="13">
        <f t="shared" si="97"/>
        <v>0</v>
      </c>
      <c r="G172" s="82"/>
      <c r="H172" s="76" t="str">
        <f t="shared" si="110"/>
        <v/>
      </c>
      <c r="I172" s="15" t="str">
        <f t="shared" si="88"/>
        <v/>
      </c>
      <c r="L172" s="7">
        <f t="shared" si="111"/>
        <v>0</v>
      </c>
      <c r="M172" s="24">
        <f t="shared" si="112"/>
        <v>0</v>
      </c>
      <c r="N172" s="12">
        <v>0</v>
      </c>
      <c r="O172" s="12">
        <v>0</v>
      </c>
      <c r="P172" s="12">
        <v>0</v>
      </c>
      <c r="Q172" s="16"/>
      <c r="R172" s="16"/>
    </row>
    <row r="173" spans="2:18" ht="40.200000000000003" customHeight="1" x14ac:dyDescent="0.4">
      <c r="B173" s="38"/>
      <c r="C173" s="3"/>
      <c r="D173" s="36"/>
      <c r="E173" s="40" t="s">
        <v>16</v>
      </c>
      <c r="F173" s="13">
        <f t="shared" si="97"/>
        <v>0</v>
      </c>
      <c r="G173" s="82"/>
      <c r="H173" s="76" t="str">
        <f t="shared" si="110"/>
        <v/>
      </c>
      <c r="I173" s="15" t="str">
        <f t="shared" si="88"/>
        <v/>
      </c>
      <c r="L173" s="7">
        <f t="shared" si="111"/>
        <v>0</v>
      </c>
      <c r="M173" s="24">
        <f t="shared" si="112"/>
        <v>0</v>
      </c>
      <c r="N173" s="12">
        <v>0</v>
      </c>
      <c r="O173" s="12">
        <v>0</v>
      </c>
      <c r="P173" s="12">
        <v>0</v>
      </c>
      <c r="Q173" s="16"/>
      <c r="R173" s="16"/>
    </row>
    <row r="174" spans="2:18" ht="40.200000000000003" customHeight="1" x14ac:dyDescent="0.4">
      <c r="B174" s="38"/>
      <c r="C174" s="3"/>
      <c r="D174" s="36"/>
      <c r="E174" s="40" t="s">
        <v>16</v>
      </c>
      <c r="F174" s="13">
        <f t="shared" si="97"/>
        <v>0</v>
      </c>
      <c r="G174" s="82"/>
      <c r="H174" s="76" t="str">
        <f t="shared" si="110"/>
        <v/>
      </c>
      <c r="I174" s="15" t="str">
        <f t="shared" si="88"/>
        <v/>
      </c>
      <c r="L174" s="7">
        <f t="shared" si="111"/>
        <v>0</v>
      </c>
      <c r="M174" s="24">
        <f t="shared" si="112"/>
        <v>0</v>
      </c>
      <c r="N174" s="12">
        <v>0</v>
      </c>
      <c r="O174" s="12">
        <v>0</v>
      </c>
      <c r="P174" s="12">
        <v>0</v>
      </c>
      <c r="Q174" s="16"/>
      <c r="R174" s="16"/>
    </row>
    <row r="175" spans="2:18" ht="40.200000000000003" customHeight="1" x14ac:dyDescent="0.4">
      <c r="B175" s="38"/>
      <c r="C175" s="3"/>
      <c r="D175" s="36"/>
      <c r="E175" s="40" t="s">
        <v>16</v>
      </c>
      <c r="F175" s="13">
        <f t="shared" si="97"/>
        <v>0</v>
      </c>
      <c r="G175" s="83"/>
      <c r="H175" s="76" t="str">
        <f t="shared" si="110"/>
        <v/>
      </c>
      <c r="I175" s="15" t="str">
        <f t="shared" si="88"/>
        <v/>
      </c>
      <c r="L175" s="7">
        <f t="shared" si="111"/>
        <v>0</v>
      </c>
      <c r="M175" s="24">
        <f t="shared" si="112"/>
        <v>0</v>
      </c>
      <c r="N175" s="12">
        <v>0</v>
      </c>
      <c r="O175" s="12">
        <v>0</v>
      </c>
      <c r="P175" s="12">
        <v>0</v>
      </c>
      <c r="Q175" s="16"/>
      <c r="R175" s="16"/>
    </row>
    <row r="176" spans="2:18" ht="40.200000000000003" customHeight="1" x14ac:dyDescent="0.4">
      <c r="B176" s="38"/>
      <c r="C176" s="3"/>
      <c r="D176" s="36"/>
      <c r="E176" s="40" t="s">
        <v>16</v>
      </c>
      <c r="F176" s="13">
        <f t="shared" si="97"/>
        <v>0</v>
      </c>
      <c r="G176" s="82"/>
      <c r="H176" s="76" t="str">
        <f t="shared" ref="H176:H183" si="113">IF(G176="","",(G176))</f>
        <v/>
      </c>
      <c r="I176" s="15" t="str">
        <f t="shared" ref="I176:I183" si="114">IF(H176="","",(H176+I175-J176))</f>
        <v/>
      </c>
      <c r="L176" s="7">
        <f t="shared" ref="L176:L178" si="115">C176</f>
        <v>0</v>
      </c>
      <c r="M176" s="24">
        <f t="shared" ref="M176:M178" si="116">G176</f>
        <v>0</v>
      </c>
      <c r="N176" s="12">
        <v>0</v>
      </c>
      <c r="O176" s="12">
        <v>0</v>
      </c>
      <c r="P176" s="12">
        <v>0</v>
      </c>
      <c r="Q176" s="16"/>
      <c r="R176" s="16"/>
    </row>
    <row r="177" spans="2:21" ht="40.200000000000003" customHeight="1" x14ac:dyDescent="0.4">
      <c r="B177" s="38"/>
      <c r="C177" s="3"/>
      <c r="D177" s="36"/>
      <c r="E177" s="40" t="s">
        <v>16</v>
      </c>
      <c r="F177" s="13">
        <f t="shared" si="97"/>
        <v>0</v>
      </c>
      <c r="G177" s="82"/>
      <c r="H177" s="76" t="str">
        <f t="shared" si="113"/>
        <v/>
      </c>
      <c r="I177" s="15" t="str">
        <f t="shared" si="114"/>
        <v/>
      </c>
      <c r="L177" s="7">
        <f t="shared" si="115"/>
        <v>0</v>
      </c>
      <c r="M177" s="24">
        <f t="shared" si="116"/>
        <v>0</v>
      </c>
      <c r="N177" s="12">
        <v>0</v>
      </c>
      <c r="O177" s="12">
        <v>0</v>
      </c>
      <c r="P177" s="12">
        <v>0</v>
      </c>
      <c r="Q177" s="16"/>
      <c r="R177" s="16"/>
      <c r="U177" s="1"/>
    </row>
    <row r="178" spans="2:21" ht="40.200000000000003" customHeight="1" x14ac:dyDescent="0.4">
      <c r="B178" s="38"/>
      <c r="C178" s="3"/>
      <c r="D178" s="36"/>
      <c r="E178" s="40" t="s">
        <v>16</v>
      </c>
      <c r="F178" s="13">
        <f t="shared" si="97"/>
        <v>0</v>
      </c>
      <c r="G178" s="82"/>
      <c r="H178" s="76" t="str">
        <f t="shared" si="113"/>
        <v/>
      </c>
      <c r="I178" s="15" t="str">
        <f t="shared" si="114"/>
        <v/>
      </c>
      <c r="L178" s="7">
        <f t="shared" si="115"/>
        <v>0</v>
      </c>
      <c r="M178" s="24">
        <f t="shared" si="116"/>
        <v>0</v>
      </c>
      <c r="N178" s="12">
        <v>0</v>
      </c>
      <c r="O178" s="12">
        <v>0</v>
      </c>
      <c r="P178" s="12">
        <v>0</v>
      </c>
      <c r="Q178" s="16"/>
      <c r="R178" s="16"/>
    </row>
    <row r="179" spans="2:21" ht="40.200000000000003" customHeight="1" x14ac:dyDescent="0.4">
      <c r="B179" s="38"/>
      <c r="C179" s="3"/>
      <c r="D179" s="36"/>
      <c r="E179" s="40" t="s">
        <v>16</v>
      </c>
      <c r="F179" s="13">
        <f t="shared" si="97"/>
        <v>0</v>
      </c>
      <c r="G179" s="82"/>
      <c r="H179" s="76" t="str">
        <f t="shared" si="113"/>
        <v/>
      </c>
      <c r="I179" s="15" t="str">
        <f t="shared" si="114"/>
        <v/>
      </c>
      <c r="J179" s="26"/>
      <c r="K179" s="26"/>
      <c r="L179" s="7">
        <f t="shared" ref="L179:L183" si="117">C179</f>
        <v>0</v>
      </c>
      <c r="M179" s="24">
        <f t="shared" ref="M179:M183" si="118">G179</f>
        <v>0</v>
      </c>
      <c r="N179" s="12">
        <v>0</v>
      </c>
      <c r="O179" s="12">
        <v>0</v>
      </c>
      <c r="P179" s="12">
        <v>0</v>
      </c>
      <c r="Q179" s="16"/>
      <c r="R179" s="16"/>
    </row>
    <row r="180" spans="2:21" ht="40.200000000000003" customHeight="1" x14ac:dyDescent="0.4">
      <c r="B180" s="38"/>
      <c r="C180" s="3"/>
      <c r="D180" s="36"/>
      <c r="E180" s="40" t="s">
        <v>16</v>
      </c>
      <c r="F180" s="13">
        <f t="shared" si="97"/>
        <v>0</v>
      </c>
      <c r="G180" s="82"/>
      <c r="H180" s="76" t="str">
        <f t="shared" si="113"/>
        <v/>
      </c>
      <c r="I180" s="15" t="str">
        <f t="shared" si="114"/>
        <v/>
      </c>
      <c r="J180" s="26"/>
      <c r="K180" s="26"/>
      <c r="L180" s="7">
        <f t="shared" si="117"/>
        <v>0</v>
      </c>
      <c r="M180" s="24">
        <f t="shared" si="118"/>
        <v>0</v>
      </c>
      <c r="N180" s="12">
        <v>0</v>
      </c>
      <c r="O180" s="12">
        <v>0</v>
      </c>
      <c r="P180" s="12">
        <v>0</v>
      </c>
      <c r="Q180" s="16"/>
      <c r="R180" s="16"/>
    </row>
    <row r="181" spans="2:21" ht="40.200000000000003" customHeight="1" x14ac:dyDescent="0.4">
      <c r="B181" s="38"/>
      <c r="C181" s="3"/>
      <c r="D181" s="36"/>
      <c r="E181" s="40" t="s">
        <v>16</v>
      </c>
      <c r="F181" s="13">
        <f t="shared" si="97"/>
        <v>0</v>
      </c>
      <c r="G181" s="82"/>
      <c r="H181" s="76" t="str">
        <f t="shared" si="113"/>
        <v/>
      </c>
      <c r="I181" s="15" t="str">
        <f t="shared" si="114"/>
        <v/>
      </c>
      <c r="J181" s="26"/>
      <c r="K181" s="26"/>
      <c r="L181" s="7">
        <f t="shared" si="117"/>
        <v>0</v>
      </c>
      <c r="M181" s="24">
        <f t="shared" si="118"/>
        <v>0</v>
      </c>
      <c r="N181" s="12">
        <v>0</v>
      </c>
      <c r="O181" s="12">
        <v>0</v>
      </c>
      <c r="P181" s="12">
        <v>0</v>
      </c>
      <c r="Q181" s="16"/>
      <c r="R181" s="16"/>
    </row>
    <row r="182" spans="2:21" ht="40.200000000000003" customHeight="1" x14ac:dyDescent="0.4">
      <c r="B182" s="38"/>
      <c r="C182" s="3"/>
      <c r="D182" s="36"/>
      <c r="E182" s="40" t="s">
        <v>16</v>
      </c>
      <c r="F182" s="13">
        <f t="shared" si="97"/>
        <v>0</v>
      </c>
      <c r="G182" s="82"/>
      <c r="H182" s="76" t="str">
        <f t="shared" si="113"/>
        <v/>
      </c>
      <c r="I182" s="15" t="str">
        <f t="shared" si="114"/>
        <v/>
      </c>
      <c r="J182" s="26"/>
      <c r="K182" s="26"/>
      <c r="L182" s="7">
        <f t="shared" si="117"/>
        <v>0</v>
      </c>
      <c r="M182" s="24">
        <f t="shared" si="118"/>
        <v>0</v>
      </c>
      <c r="N182" s="12">
        <v>0</v>
      </c>
      <c r="O182" s="12">
        <v>0</v>
      </c>
      <c r="P182" s="12">
        <v>0</v>
      </c>
      <c r="Q182" s="16"/>
      <c r="R182" s="16"/>
    </row>
    <row r="183" spans="2:21" ht="40.200000000000003" customHeight="1" x14ac:dyDescent="0.4">
      <c r="B183" s="38"/>
      <c r="C183" s="3"/>
      <c r="D183" s="36"/>
      <c r="E183" s="40" t="s">
        <v>16</v>
      </c>
      <c r="F183" s="13">
        <f t="shared" si="97"/>
        <v>0</v>
      </c>
      <c r="G183" s="82"/>
      <c r="H183" s="76" t="str">
        <f t="shared" si="113"/>
        <v/>
      </c>
      <c r="I183" s="15" t="str">
        <f t="shared" si="114"/>
        <v/>
      </c>
      <c r="J183" s="26"/>
      <c r="K183" s="26"/>
      <c r="L183" s="7">
        <f t="shared" si="117"/>
        <v>0</v>
      </c>
      <c r="M183" s="24">
        <f t="shared" si="118"/>
        <v>0</v>
      </c>
      <c r="N183" s="12">
        <v>0</v>
      </c>
      <c r="O183" s="12">
        <v>0</v>
      </c>
      <c r="P183" s="12">
        <v>0</v>
      </c>
      <c r="Q183" s="16"/>
      <c r="R183" s="16"/>
    </row>
    <row r="184" spans="2:21" ht="40.200000000000003" customHeight="1" x14ac:dyDescent="0.4">
      <c r="B184" s="38"/>
      <c r="C184" s="3"/>
      <c r="D184" s="36"/>
      <c r="E184" s="40" t="s">
        <v>16</v>
      </c>
      <c r="F184" s="13">
        <f t="shared" si="97"/>
        <v>0</v>
      </c>
      <c r="G184" s="82"/>
      <c r="H184" s="76" t="str">
        <f t="shared" ref="H184:H188" si="119">IF(G184="","",(G184))</f>
        <v/>
      </c>
      <c r="I184" s="15" t="str">
        <f t="shared" ref="I184:I188" si="120">IF(H184="","",(H184+I183-J184))</f>
        <v/>
      </c>
      <c r="J184" s="26"/>
      <c r="K184" s="26"/>
      <c r="L184" s="7">
        <f t="shared" ref="L184:L188" si="121">C184</f>
        <v>0</v>
      </c>
      <c r="M184" s="24">
        <f t="shared" ref="M184:M188" si="122">G184</f>
        <v>0</v>
      </c>
      <c r="N184" s="12">
        <v>0</v>
      </c>
      <c r="O184" s="12">
        <v>0</v>
      </c>
      <c r="P184" s="12">
        <v>0</v>
      </c>
      <c r="Q184" s="16"/>
      <c r="R184" s="16"/>
    </row>
    <row r="185" spans="2:21" ht="40.200000000000003" customHeight="1" x14ac:dyDescent="0.4">
      <c r="B185" s="38"/>
      <c r="C185" s="3"/>
      <c r="D185" s="36"/>
      <c r="E185" s="40" t="s">
        <v>16</v>
      </c>
      <c r="F185" s="13">
        <f t="shared" si="97"/>
        <v>0</v>
      </c>
      <c r="G185" s="82"/>
      <c r="H185" s="76" t="str">
        <f t="shared" si="119"/>
        <v/>
      </c>
      <c r="I185" s="15" t="str">
        <f t="shared" si="120"/>
        <v/>
      </c>
      <c r="J185" s="26"/>
      <c r="K185" s="26"/>
      <c r="L185" s="7">
        <f t="shared" si="121"/>
        <v>0</v>
      </c>
      <c r="M185" s="24">
        <f t="shared" si="122"/>
        <v>0</v>
      </c>
      <c r="N185" s="12">
        <v>0</v>
      </c>
      <c r="O185" s="12">
        <v>0</v>
      </c>
      <c r="P185" s="12">
        <v>0</v>
      </c>
      <c r="Q185" s="16"/>
      <c r="R185" s="16"/>
    </row>
    <row r="186" spans="2:21" ht="40.200000000000003" customHeight="1" x14ac:dyDescent="0.4">
      <c r="B186" s="38"/>
      <c r="C186" s="3"/>
      <c r="D186" s="36"/>
      <c r="E186" s="40" t="s">
        <v>16</v>
      </c>
      <c r="F186" s="13">
        <f t="shared" si="97"/>
        <v>0</v>
      </c>
      <c r="G186" s="82"/>
      <c r="H186" s="76" t="str">
        <f t="shared" si="119"/>
        <v/>
      </c>
      <c r="I186" s="15" t="str">
        <f t="shared" si="120"/>
        <v/>
      </c>
      <c r="J186" s="26"/>
      <c r="K186" s="26"/>
      <c r="L186" s="7">
        <f t="shared" si="121"/>
        <v>0</v>
      </c>
      <c r="M186" s="24">
        <f t="shared" si="122"/>
        <v>0</v>
      </c>
      <c r="N186" s="12">
        <v>0</v>
      </c>
      <c r="O186" s="12">
        <v>0</v>
      </c>
      <c r="P186" s="12">
        <v>0</v>
      </c>
      <c r="Q186" s="16"/>
      <c r="R186" s="16"/>
    </row>
    <row r="187" spans="2:21" ht="40.200000000000003" customHeight="1" x14ac:dyDescent="0.4">
      <c r="B187" s="38"/>
      <c r="C187" s="3"/>
      <c r="D187" s="36"/>
      <c r="E187" s="40" t="s">
        <v>16</v>
      </c>
      <c r="F187" s="13">
        <f t="shared" si="97"/>
        <v>0</v>
      </c>
      <c r="G187" s="82"/>
      <c r="H187" s="76" t="str">
        <f t="shared" si="119"/>
        <v/>
      </c>
      <c r="I187" s="15" t="str">
        <f t="shared" si="120"/>
        <v/>
      </c>
      <c r="J187" s="26"/>
      <c r="K187" s="26"/>
      <c r="L187" s="7">
        <f t="shared" si="121"/>
        <v>0</v>
      </c>
      <c r="M187" s="24">
        <f t="shared" si="122"/>
        <v>0</v>
      </c>
      <c r="N187" s="12">
        <v>0</v>
      </c>
      <c r="O187" s="12">
        <v>0</v>
      </c>
      <c r="P187" s="12">
        <v>0</v>
      </c>
      <c r="Q187" s="16"/>
      <c r="R187" s="16"/>
    </row>
    <row r="188" spans="2:21" ht="40.200000000000003" customHeight="1" x14ac:dyDescent="0.4">
      <c r="B188" s="38"/>
      <c r="C188" s="3"/>
      <c r="D188" s="36"/>
      <c r="E188" s="40" t="s">
        <v>16</v>
      </c>
      <c r="F188" s="13">
        <f t="shared" si="97"/>
        <v>0</v>
      </c>
      <c r="G188" s="82"/>
      <c r="H188" s="76" t="str">
        <f t="shared" si="119"/>
        <v/>
      </c>
      <c r="I188" s="15" t="str">
        <f t="shared" si="120"/>
        <v/>
      </c>
      <c r="J188" s="26"/>
      <c r="K188" s="26"/>
      <c r="L188" s="7">
        <f t="shared" si="121"/>
        <v>0</v>
      </c>
      <c r="M188" s="24">
        <f t="shared" si="122"/>
        <v>0</v>
      </c>
      <c r="N188" s="12">
        <v>0</v>
      </c>
      <c r="O188" s="12">
        <v>0</v>
      </c>
      <c r="P188" s="12">
        <v>0</v>
      </c>
      <c r="Q188" s="16"/>
      <c r="R188" s="16"/>
    </row>
    <row r="189" spans="2:21" ht="40.200000000000003" customHeight="1" x14ac:dyDescent="0.4">
      <c r="B189" s="38"/>
      <c r="C189" s="3"/>
      <c r="D189" s="36"/>
      <c r="E189" s="40" t="s">
        <v>16</v>
      </c>
      <c r="F189" s="13">
        <f t="shared" si="97"/>
        <v>0</v>
      </c>
      <c r="G189" s="82"/>
      <c r="H189" s="76" t="str">
        <f t="shared" ref="H189:H192" si="123">IF(G189="","",(G189))</f>
        <v/>
      </c>
      <c r="I189" s="15" t="str">
        <f t="shared" ref="I189:I192" si="124">IF(H189="","",(H189+I188-J189))</f>
        <v/>
      </c>
      <c r="J189" s="26"/>
      <c r="K189" s="26"/>
      <c r="L189" s="7">
        <f t="shared" ref="L189:L192" si="125">C189</f>
        <v>0</v>
      </c>
      <c r="M189" s="24">
        <f t="shared" ref="M189:M192" si="126">G189</f>
        <v>0</v>
      </c>
      <c r="N189" s="12">
        <v>0</v>
      </c>
      <c r="O189" s="12">
        <v>0</v>
      </c>
      <c r="P189" s="12">
        <v>0</v>
      </c>
      <c r="Q189" s="16"/>
      <c r="R189" s="16"/>
    </row>
    <row r="190" spans="2:21" ht="40.200000000000003" customHeight="1" x14ac:dyDescent="0.4">
      <c r="B190" s="38"/>
      <c r="C190" s="3"/>
      <c r="D190" s="36"/>
      <c r="E190" s="40" t="s">
        <v>16</v>
      </c>
      <c r="F190" s="13">
        <f t="shared" si="97"/>
        <v>0</v>
      </c>
      <c r="G190" s="82"/>
      <c r="H190" s="76" t="str">
        <f t="shared" si="123"/>
        <v/>
      </c>
      <c r="I190" s="15" t="str">
        <f t="shared" si="124"/>
        <v/>
      </c>
      <c r="J190" s="26"/>
      <c r="K190" s="26"/>
      <c r="L190" s="7">
        <f t="shared" si="125"/>
        <v>0</v>
      </c>
      <c r="M190" s="24">
        <f t="shared" si="126"/>
        <v>0</v>
      </c>
      <c r="N190" s="12">
        <v>0</v>
      </c>
      <c r="O190" s="12">
        <v>0</v>
      </c>
      <c r="P190" s="12">
        <v>0</v>
      </c>
      <c r="Q190" s="16"/>
      <c r="R190" s="16"/>
    </row>
    <row r="191" spans="2:21" ht="40.200000000000003" customHeight="1" x14ac:dyDescent="0.4">
      <c r="B191" s="38"/>
      <c r="C191" s="3"/>
      <c r="D191" s="36"/>
      <c r="E191" s="40" t="s">
        <v>16</v>
      </c>
      <c r="F191" s="13">
        <f t="shared" si="97"/>
        <v>0</v>
      </c>
      <c r="G191" s="82"/>
      <c r="H191" s="76" t="str">
        <f t="shared" si="123"/>
        <v/>
      </c>
      <c r="I191" s="15" t="str">
        <f t="shared" si="124"/>
        <v/>
      </c>
      <c r="J191" s="26"/>
      <c r="K191" s="26"/>
      <c r="L191" s="7">
        <f t="shared" si="125"/>
        <v>0</v>
      </c>
      <c r="M191" s="24">
        <f t="shared" si="126"/>
        <v>0</v>
      </c>
      <c r="N191" s="12">
        <v>0</v>
      </c>
      <c r="O191" s="12">
        <v>0</v>
      </c>
      <c r="P191" s="12">
        <v>0</v>
      </c>
      <c r="Q191" s="16"/>
      <c r="R191" s="16"/>
    </row>
    <row r="192" spans="2:21" ht="40.200000000000003" customHeight="1" x14ac:dyDescent="0.4">
      <c r="B192" s="38"/>
      <c r="C192" s="3"/>
      <c r="D192" s="36"/>
      <c r="E192" s="40" t="s">
        <v>16</v>
      </c>
      <c r="F192" s="13">
        <f t="shared" si="97"/>
        <v>0</v>
      </c>
      <c r="G192" s="82"/>
      <c r="H192" s="76" t="str">
        <f t="shared" si="123"/>
        <v/>
      </c>
      <c r="I192" s="15" t="str">
        <f t="shared" si="124"/>
        <v/>
      </c>
      <c r="J192" s="26"/>
      <c r="K192" s="26"/>
      <c r="L192" s="7">
        <f t="shared" si="125"/>
        <v>0</v>
      </c>
      <c r="M192" s="24">
        <f t="shared" si="126"/>
        <v>0</v>
      </c>
      <c r="N192" s="12">
        <v>0</v>
      </c>
      <c r="O192" s="12">
        <v>0</v>
      </c>
      <c r="P192" s="12">
        <v>0</v>
      </c>
      <c r="Q192" s="16"/>
      <c r="R192" s="16"/>
    </row>
    <row r="193" spans="2:18" ht="40.200000000000003" customHeight="1" x14ac:dyDescent="0.4">
      <c r="B193" s="38"/>
      <c r="C193" s="3"/>
      <c r="D193" s="36"/>
      <c r="E193" s="40" t="s">
        <v>16</v>
      </c>
      <c r="F193" s="13">
        <f t="shared" si="97"/>
        <v>0</v>
      </c>
      <c r="G193" s="82"/>
      <c r="H193" s="76" t="str">
        <f t="shared" ref="H193:H195" si="127">IF(G193="","",(G193))</f>
        <v/>
      </c>
      <c r="I193" s="15" t="str">
        <f t="shared" ref="I193:I195" si="128">IF(H193="","",(H193+I192-J193))</f>
        <v/>
      </c>
      <c r="J193" s="26"/>
      <c r="K193" s="26"/>
      <c r="L193" s="7">
        <f t="shared" ref="L193:L195" si="129">C193</f>
        <v>0</v>
      </c>
      <c r="M193" s="24">
        <f t="shared" ref="M193:M195" si="130">G193</f>
        <v>0</v>
      </c>
      <c r="N193" s="12">
        <v>0</v>
      </c>
      <c r="O193" s="12">
        <v>0</v>
      </c>
      <c r="P193" s="12">
        <v>0</v>
      </c>
      <c r="Q193" s="16"/>
      <c r="R193" s="16"/>
    </row>
    <row r="194" spans="2:18" ht="40.200000000000003" customHeight="1" x14ac:dyDescent="0.4">
      <c r="B194" s="38"/>
      <c r="C194" s="3"/>
      <c r="D194" s="36"/>
      <c r="E194" s="40" t="s">
        <v>16</v>
      </c>
      <c r="F194" s="13">
        <f t="shared" si="97"/>
        <v>0</v>
      </c>
      <c r="G194" s="82"/>
      <c r="H194" s="76" t="str">
        <f t="shared" si="127"/>
        <v/>
      </c>
      <c r="I194" s="15" t="str">
        <f t="shared" si="128"/>
        <v/>
      </c>
      <c r="J194" s="26"/>
      <c r="K194" s="26"/>
      <c r="L194" s="7">
        <f t="shared" si="129"/>
        <v>0</v>
      </c>
      <c r="M194" s="24">
        <f t="shared" si="130"/>
        <v>0</v>
      </c>
      <c r="N194" s="12">
        <v>0</v>
      </c>
      <c r="O194" s="12">
        <v>0</v>
      </c>
      <c r="P194" s="12">
        <v>0</v>
      </c>
      <c r="Q194" s="16"/>
      <c r="R194" s="16"/>
    </row>
    <row r="195" spans="2:18" ht="40.200000000000003" customHeight="1" x14ac:dyDescent="0.4">
      <c r="B195" s="38"/>
      <c r="C195" s="3"/>
      <c r="D195" s="36"/>
      <c r="E195" s="40" t="s">
        <v>16</v>
      </c>
      <c r="F195" s="13">
        <f t="shared" si="97"/>
        <v>0</v>
      </c>
      <c r="G195" s="82"/>
      <c r="H195" s="76" t="str">
        <f t="shared" si="127"/>
        <v/>
      </c>
      <c r="I195" s="15" t="str">
        <f t="shared" si="128"/>
        <v/>
      </c>
      <c r="J195" s="26"/>
      <c r="K195" s="26"/>
      <c r="L195" s="7">
        <f t="shared" si="129"/>
        <v>0</v>
      </c>
      <c r="M195" s="24">
        <f t="shared" si="130"/>
        <v>0</v>
      </c>
      <c r="N195" s="12">
        <v>0</v>
      </c>
      <c r="O195" s="12">
        <v>0</v>
      </c>
      <c r="P195" s="12">
        <v>0</v>
      </c>
      <c r="Q195" s="16"/>
      <c r="R195" s="16"/>
    </row>
    <row r="196" spans="2:18" ht="40.200000000000003" customHeight="1" x14ac:dyDescent="0.4">
      <c r="B196" s="38"/>
      <c r="C196" s="3"/>
      <c r="D196" s="36"/>
      <c r="E196" s="40" t="s">
        <v>16</v>
      </c>
      <c r="F196" s="13">
        <f t="shared" si="97"/>
        <v>0</v>
      </c>
      <c r="G196" s="82"/>
      <c r="H196" s="76" t="str">
        <f t="shared" ref="H196:H198" si="131">IF(G196="","",(G196))</f>
        <v/>
      </c>
      <c r="I196" s="15" t="str">
        <f t="shared" ref="I196:I198" si="132">IF(H196="","",(H196+I195-J196))</f>
        <v/>
      </c>
      <c r="J196" s="26"/>
      <c r="K196" s="26"/>
      <c r="L196" s="7">
        <f t="shared" ref="L196:L198" si="133">C196</f>
        <v>0</v>
      </c>
      <c r="M196" s="24">
        <f t="shared" ref="M196:M198" si="134">G196</f>
        <v>0</v>
      </c>
      <c r="N196" s="12">
        <v>0</v>
      </c>
      <c r="O196" s="12">
        <v>0</v>
      </c>
      <c r="P196" s="12">
        <v>0</v>
      </c>
      <c r="Q196" s="16"/>
      <c r="R196" s="16"/>
    </row>
    <row r="197" spans="2:18" ht="40.200000000000003" customHeight="1" x14ac:dyDescent="0.4">
      <c r="B197" s="38"/>
      <c r="C197" s="3"/>
      <c r="D197" s="36"/>
      <c r="E197" s="40" t="s">
        <v>16</v>
      </c>
      <c r="F197" s="13">
        <f t="shared" si="97"/>
        <v>0</v>
      </c>
      <c r="G197" s="82"/>
      <c r="H197" s="76" t="str">
        <f t="shared" si="131"/>
        <v/>
      </c>
      <c r="I197" s="15" t="str">
        <f t="shared" si="132"/>
        <v/>
      </c>
      <c r="J197" s="26"/>
      <c r="K197" s="26"/>
      <c r="L197" s="7">
        <f t="shared" si="133"/>
        <v>0</v>
      </c>
      <c r="M197" s="24">
        <f t="shared" si="134"/>
        <v>0</v>
      </c>
      <c r="N197" s="12">
        <v>0</v>
      </c>
      <c r="O197" s="12">
        <v>0</v>
      </c>
      <c r="P197" s="12">
        <v>0</v>
      </c>
      <c r="Q197" s="16"/>
      <c r="R197" s="16"/>
    </row>
    <row r="198" spans="2:18" ht="40.200000000000003" customHeight="1" x14ac:dyDescent="0.4">
      <c r="B198" s="38"/>
      <c r="C198" s="3"/>
      <c r="D198" s="36"/>
      <c r="E198" s="40" t="s">
        <v>16</v>
      </c>
      <c r="F198" s="13">
        <f t="shared" si="97"/>
        <v>0</v>
      </c>
      <c r="G198" s="82"/>
      <c r="H198" s="76" t="str">
        <f t="shared" si="131"/>
        <v/>
      </c>
      <c r="I198" s="15" t="str">
        <f t="shared" si="132"/>
        <v/>
      </c>
      <c r="J198" s="26"/>
      <c r="K198" s="26"/>
      <c r="L198" s="7">
        <f t="shared" si="133"/>
        <v>0</v>
      </c>
      <c r="M198" s="24">
        <f t="shared" si="134"/>
        <v>0</v>
      </c>
      <c r="N198" s="12">
        <v>0</v>
      </c>
      <c r="O198" s="12">
        <v>0</v>
      </c>
      <c r="P198" s="12">
        <v>0</v>
      </c>
      <c r="Q198" s="16"/>
      <c r="R198" s="16"/>
    </row>
    <row r="199" spans="2:18" ht="40.200000000000003" customHeight="1" x14ac:dyDescent="0.4">
      <c r="B199" s="38"/>
      <c r="C199" s="3"/>
      <c r="D199" s="36"/>
      <c r="E199" s="40" t="s">
        <v>16</v>
      </c>
      <c r="F199" s="13">
        <f t="shared" si="97"/>
        <v>0</v>
      </c>
      <c r="H199" s="76" t="str">
        <f t="shared" ref="H199:H202" si="135">IF(G199="","",(G199))</f>
        <v/>
      </c>
      <c r="I199" s="15" t="str">
        <f t="shared" ref="I199:I202" si="136">IF(H199="","",(H199+I198-J199))</f>
        <v/>
      </c>
      <c r="J199" s="26"/>
      <c r="K199" s="26"/>
      <c r="L199" s="7">
        <f t="shared" ref="L199:L202" si="137">C199</f>
        <v>0</v>
      </c>
      <c r="M199" s="24">
        <f t="shared" ref="M199:M202" si="138">G199</f>
        <v>0</v>
      </c>
      <c r="N199" s="12">
        <v>0</v>
      </c>
      <c r="O199" s="12">
        <v>0</v>
      </c>
      <c r="P199" s="12">
        <v>0</v>
      </c>
      <c r="Q199" s="16"/>
      <c r="R199" s="16"/>
    </row>
    <row r="200" spans="2:18" ht="40.200000000000003" customHeight="1" x14ac:dyDescent="0.4">
      <c r="B200" s="38"/>
      <c r="C200" s="3"/>
      <c r="D200" s="36"/>
      <c r="E200" s="40" t="s">
        <v>16</v>
      </c>
      <c r="F200" s="13">
        <f t="shared" ref="F200:F263" si="139">G200</f>
        <v>0</v>
      </c>
      <c r="H200" s="76" t="str">
        <f t="shared" si="135"/>
        <v/>
      </c>
      <c r="I200" s="15" t="str">
        <f t="shared" si="136"/>
        <v/>
      </c>
      <c r="J200" s="26"/>
      <c r="K200" s="26"/>
      <c r="L200" s="7">
        <f t="shared" si="137"/>
        <v>0</v>
      </c>
      <c r="M200" s="24">
        <f t="shared" si="138"/>
        <v>0</v>
      </c>
      <c r="N200" s="12">
        <v>0</v>
      </c>
      <c r="O200" s="12">
        <v>0</v>
      </c>
      <c r="P200" s="12">
        <v>0</v>
      </c>
      <c r="Q200" s="16"/>
      <c r="R200" s="16"/>
    </row>
    <row r="201" spans="2:18" ht="40.200000000000003" customHeight="1" x14ac:dyDescent="0.4">
      <c r="B201" s="38"/>
      <c r="C201" s="3"/>
      <c r="D201" s="36"/>
      <c r="E201" s="40" t="s">
        <v>16</v>
      </c>
      <c r="F201" s="13">
        <f t="shared" si="139"/>
        <v>0</v>
      </c>
      <c r="H201" s="76" t="str">
        <f t="shared" si="135"/>
        <v/>
      </c>
      <c r="I201" s="15" t="str">
        <f t="shared" si="136"/>
        <v/>
      </c>
      <c r="J201" s="26"/>
      <c r="K201" s="26"/>
      <c r="L201" s="7">
        <f t="shared" si="137"/>
        <v>0</v>
      </c>
      <c r="M201" s="24">
        <f t="shared" si="138"/>
        <v>0</v>
      </c>
      <c r="N201" s="12">
        <v>0</v>
      </c>
      <c r="O201" s="12">
        <v>0</v>
      </c>
      <c r="P201" s="12">
        <v>0</v>
      </c>
      <c r="Q201" s="16"/>
      <c r="R201" s="16"/>
    </row>
    <row r="202" spans="2:18" ht="40.200000000000003" customHeight="1" x14ac:dyDescent="0.4">
      <c r="B202" s="38"/>
      <c r="C202" s="3"/>
      <c r="D202" s="36"/>
      <c r="E202" s="40" t="s">
        <v>16</v>
      </c>
      <c r="F202" s="13">
        <f t="shared" si="139"/>
        <v>0</v>
      </c>
      <c r="H202" s="76" t="str">
        <f t="shared" si="135"/>
        <v/>
      </c>
      <c r="I202" s="15" t="str">
        <f t="shared" si="136"/>
        <v/>
      </c>
      <c r="J202" s="26"/>
      <c r="K202" s="26"/>
      <c r="L202" s="7">
        <f t="shared" si="137"/>
        <v>0</v>
      </c>
      <c r="M202" s="24">
        <f t="shared" si="138"/>
        <v>0</v>
      </c>
      <c r="N202" s="12">
        <v>0</v>
      </c>
      <c r="O202" s="12">
        <v>0</v>
      </c>
      <c r="P202" s="12">
        <v>0</v>
      </c>
      <c r="Q202" s="16"/>
      <c r="R202" s="16"/>
    </row>
    <row r="203" spans="2:18" ht="40.200000000000003" customHeight="1" x14ac:dyDescent="0.4">
      <c r="B203" s="38"/>
      <c r="C203" s="3"/>
      <c r="D203" s="36"/>
      <c r="E203" s="40" t="s">
        <v>16</v>
      </c>
      <c r="F203" s="13">
        <f t="shared" si="139"/>
        <v>0</v>
      </c>
      <c r="H203" s="76" t="str">
        <f t="shared" ref="H203:H207" si="140">IF(G203="","",(G203))</f>
        <v/>
      </c>
      <c r="I203" s="15" t="str">
        <f t="shared" ref="I203:I207" si="141">IF(H203="","",(H203+I202-J203))</f>
        <v/>
      </c>
      <c r="J203" s="26"/>
      <c r="K203" s="26"/>
      <c r="L203" s="7">
        <f t="shared" ref="L203:L207" si="142">C203</f>
        <v>0</v>
      </c>
      <c r="M203" s="24">
        <f t="shared" ref="M203:M207" si="143">G203</f>
        <v>0</v>
      </c>
      <c r="N203" s="12">
        <v>0</v>
      </c>
      <c r="O203" s="12">
        <v>0</v>
      </c>
      <c r="P203" s="12">
        <v>0</v>
      </c>
      <c r="Q203" s="16"/>
      <c r="R203" s="16"/>
    </row>
    <row r="204" spans="2:18" ht="40.200000000000003" customHeight="1" x14ac:dyDescent="0.4">
      <c r="B204" s="38"/>
      <c r="C204" s="3"/>
      <c r="D204" s="36"/>
      <c r="E204" s="40" t="s">
        <v>16</v>
      </c>
      <c r="F204" s="13">
        <f t="shared" si="139"/>
        <v>0</v>
      </c>
      <c r="H204" s="76" t="str">
        <f t="shared" si="140"/>
        <v/>
      </c>
      <c r="I204" s="15" t="str">
        <f t="shared" si="141"/>
        <v/>
      </c>
      <c r="J204" s="26"/>
      <c r="K204" s="26"/>
      <c r="L204" s="7">
        <f t="shared" si="142"/>
        <v>0</v>
      </c>
      <c r="M204" s="24">
        <f t="shared" si="143"/>
        <v>0</v>
      </c>
      <c r="N204" s="12">
        <v>0</v>
      </c>
      <c r="O204" s="12">
        <v>0</v>
      </c>
      <c r="P204" s="12">
        <v>0</v>
      </c>
      <c r="Q204" s="16"/>
      <c r="R204" s="16"/>
    </row>
    <row r="205" spans="2:18" ht="40.200000000000003" customHeight="1" x14ac:dyDescent="0.4">
      <c r="B205" s="38"/>
      <c r="C205" s="3"/>
      <c r="D205" s="36"/>
      <c r="E205" s="40" t="s">
        <v>16</v>
      </c>
      <c r="F205" s="13">
        <f t="shared" si="139"/>
        <v>0</v>
      </c>
      <c r="H205" s="76" t="str">
        <f t="shared" si="140"/>
        <v/>
      </c>
      <c r="I205" s="15" t="str">
        <f t="shared" si="141"/>
        <v/>
      </c>
      <c r="J205" s="26"/>
      <c r="K205" s="26"/>
      <c r="L205" s="7">
        <f t="shared" si="142"/>
        <v>0</v>
      </c>
      <c r="M205" s="24">
        <f t="shared" si="143"/>
        <v>0</v>
      </c>
      <c r="N205" s="12">
        <v>0</v>
      </c>
      <c r="O205" s="12">
        <v>0</v>
      </c>
      <c r="P205" s="12">
        <v>0</v>
      </c>
      <c r="Q205" s="16"/>
      <c r="R205" s="16"/>
    </row>
    <row r="206" spans="2:18" ht="40.200000000000003" customHeight="1" x14ac:dyDescent="0.4">
      <c r="B206" s="38"/>
      <c r="C206" s="3"/>
      <c r="D206" s="36"/>
      <c r="E206" s="40" t="s">
        <v>16</v>
      </c>
      <c r="F206" s="13">
        <f t="shared" si="139"/>
        <v>0</v>
      </c>
      <c r="H206" s="76" t="str">
        <f t="shared" si="140"/>
        <v/>
      </c>
      <c r="I206" s="15" t="str">
        <f t="shared" si="141"/>
        <v/>
      </c>
      <c r="J206" s="26"/>
      <c r="K206" s="26"/>
      <c r="L206" s="7">
        <f t="shared" si="142"/>
        <v>0</v>
      </c>
      <c r="M206" s="24">
        <f t="shared" si="143"/>
        <v>0</v>
      </c>
      <c r="N206" s="12">
        <v>0</v>
      </c>
      <c r="O206" s="12">
        <v>0</v>
      </c>
      <c r="P206" s="12">
        <v>0</v>
      </c>
      <c r="Q206" s="16"/>
      <c r="R206" s="16"/>
    </row>
    <row r="207" spans="2:18" ht="40.200000000000003" customHeight="1" x14ac:dyDescent="0.4">
      <c r="B207" s="38"/>
      <c r="C207" s="3"/>
      <c r="D207" s="36"/>
      <c r="E207" s="40" t="s">
        <v>16</v>
      </c>
      <c r="F207" s="13">
        <f t="shared" si="139"/>
        <v>0</v>
      </c>
      <c r="H207" s="76" t="str">
        <f t="shared" si="140"/>
        <v/>
      </c>
      <c r="I207" s="15" t="str">
        <f t="shared" si="141"/>
        <v/>
      </c>
      <c r="J207" s="26"/>
      <c r="K207" s="26"/>
      <c r="L207" s="7">
        <f t="shared" si="142"/>
        <v>0</v>
      </c>
      <c r="M207" s="24">
        <f t="shared" si="143"/>
        <v>0</v>
      </c>
      <c r="N207" s="12">
        <v>0</v>
      </c>
      <c r="O207" s="12">
        <v>0</v>
      </c>
      <c r="P207" s="12">
        <v>0</v>
      </c>
      <c r="Q207" s="16"/>
      <c r="R207" s="16"/>
    </row>
    <row r="208" spans="2:18" ht="40.200000000000003" customHeight="1" x14ac:dyDescent="0.4">
      <c r="B208" s="38"/>
      <c r="C208" s="3"/>
      <c r="D208" s="36"/>
      <c r="E208" s="40" t="s">
        <v>16</v>
      </c>
      <c r="F208" s="13">
        <f t="shared" si="139"/>
        <v>0</v>
      </c>
      <c r="H208" s="76" t="str">
        <f t="shared" ref="H208:H213" si="144">IF(G208="","",(G208))</f>
        <v/>
      </c>
      <c r="I208" s="15" t="str">
        <f t="shared" ref="I208:I213" si="145">IF(H208="","",(H208+I207-J208))</f>
        <v/>
      </c>
      <c r="J208" s="26"/>
      <c r="K208" s="26"/>
      <c r="L208" s="7">
        <f t="shared" ref="L208:L213" si="146">C208</f>
        <v>0</v>
      </c>
      <c r="M208" s="24">
        <f t="shared" ref="M208:M213" si="147">G208</f>
        <v>0</v>
      </c>
      <c r="N208" s="12">
        <v>0</v>
      </c>
      <c r="O208" s="12">
        <v>0</v>
      </c>
      <c r="P208" s="12">
        <v>0</v>
      </c>
      <c r="Q208" s="16"/>
      <c r="R208" s="16"/>
    </row>
    <row r="209" spans="2:18" ht="40.200000000000003" customHeight="1" x14ac:dyDescent="0.4">
      <c r="B209" s="38"/>
      <c r="C209" s="3"/>
      <c r="D209" s="36"/>
      <c r="E209" s="40" t="s">
        <v>16</v>
      </c>
      <c r="F209" s="13">
        <f t="shared" si="139"/>
        <v>0</v>
      </c>
      <c r="H209" s="76" t="str">
        <f t="shared" si="144"/>
        <v/>
      </c>
      <c r="I209" s="15" t="str">
        <f t="shared" si="145"/>
        <v/>
      </c>
      <c r="J209" s="26"/>
      <c r="K209" s="26"/>
      <c r="L209" s="7">
        <f t="shared" si="146"/>
        <v>0</v>
      </c>
      <c r="M209" s="24">
        <f t="shared" si="147"/>
        <v>0</v>
      </c>
      <c r="N209" s="12">
        <v>0</v>
      </c>
      <c r="O209" s="12">
        <v>0</v>
      </c>
      <c r="P209" s="12">
        <v>0</v>
      </c>
      <c r="Q209" s="16"/>
      <c r="R209" s="16"/>
    </row>
    <row r="210" spans="2:18" ht="40.200000000000003" customHeight="1" x14ac:dyDescent="0.4">
      <c r="B210" s="38"/>
      <c r="C210" s="3"/>
      <c r="D210" s="36"/>
      <c r="E210" s="40" t="s">
        <v>16</v>
      </c>
      <c r="F210" s="13">
        <f t="shared" si="139"/>
        <v>0</v>
      </c>
      <c r="H210" s="76" t="str">
        <f t="shared" si="144"/>
        <v/>
      </c>
      <c r="I210" s="15" t="str">
        <f t="shared" si="145"/>
        <v/>
      </c>
      <c r="J210" s="26"/>
      <c r="K210" s="26"/>
      <c r="L210" s="7">
        <f t="shared" si="146"/>
        <v>0</v>
      </c>
      <c r="M210" s="24">
        <f t="shared" si="147"/>
        <v>0</v>
      </c>
      <c r="N210" s="12">
        <v>0</v>
      </c>
      <c r="O210" s="12">
        <v>0</v>
      </c>
      <c r="P210" s="12">
        <v>0</v>
      </c>
      <c r="Q210" s="16"/>
      <c r="R210" s="16"/>
    </row>
    <row r="211" spans="2:18" ht="40.200000000000003" customHeight="1" x14ac:dyDescent="0.4">
      <c r="B211" s="38"/>
      <c r="C211" s="3"/>
      <c r="D211" s="36"/>
      <c r="E211" s="40" t="s">
        <v>16</v>
      </c>
      <c r="F211" s="13">
        <f t="shared" si="139"/>
        <v>0</v>
      </c>
      <c r="H211" s="76" t="str">
        <f t="shared" si="144"/>
        <v/>
      </c>
      <c r="I211" s="15" t="str">
        <f t="shared" si="145"/>
        <v/>
      </c>
      <c r="J211" s="26"/>
      <c r="K211" s="26"/>
      <c r="L211" s="7">
        <f t="shared" si="146"/>
        <v>0</v>
      </c>
      <c r="M211" s="24">
        <f t="shared" si="147"/>
        <v>0</v>
      </c>
      <c r="N211" s="12">
        <v>0</v>
      </c>
      <c r="O211" s="12">
        <v>0</v>
      </c>
      <c r="P211" s="12">
        <v>0</v>
      </c>
      <c r="Q211" s="16"/>
      <c r="R211" s="16"/>
    </row>
    <row r="212" spans="2:18" ht="40.200000000000003" customHeight="1" x14ac:dyDescent="0.4">
      <c r="B212" s="38"/>
      <c r="C212" s="3"/>
      <c r="D212" s="36"/>
      <c r="E212" s="40" t="s">
        <v>16</v>
      </c>
      <c r="F212" s="13">
        <f t="shared" si="139"/>
        <v>0</v>
      </c>
      <c r="H212" s="76" t="str">
        <f t="shared" si="144"/>
        <v/>
      </c>
      <c r="I212" s="15" t="str">
        <f t="shared" si="145"/>
        <v/>
      </c>
      <c r="J212" s="26"/>
      <c r="K212" s="26"/>
      <c r="L212" s="7">
        <f t="shared" si="146"/>
        <v>0</v>
      </c>
      <c r="M212" s="24">
        <f t="shared" si="147"/>
        <v>0</v>
      </c>
      <c r="N212" s="12">
        <v>0</v>
      </c>
      <c r="O212" s="12">
        <v>0</v>
      </c>
      <c r="P212" s="12">
        <v>0</v>
      </c>
      <c r="Q212" s="16"/>
      <c r="R212" s="16"/>
    </row>
    <row r="213" spans="2:18" ht="40.200000000000003" customHeight="1" x14ac:dyDescent="0.4">
      <c r="B213" s="38"/>
      <c r="C213" s="3"/>
      <c r="D213" s="36"/>
      <c r="E213" s="40" t="s">
        <v>16</v>
      </c>
      <c r="F213" s="13">
        <f t="shared" si="139"/>
        <v>0</v>
      </c>
      <c r="H213" s="76" t="str">
        <f t="shared" si="144"/>
        <v/>
      </c>
      <c r="I213" s="15" t="str">
        <f t="shared" si="145"/>
        <v/>
      </c>
      <c r="J213" s="26"/>
      <c r="K213" s="26"/>
      <c r="L213" s="7">
        <f t="shared" si="146"/>
        <v>0</v>
      </c>
      <c r="M213" s="24">
        <f t="shared" si="147"/>
        <v>0</v>
      </c>
      <c r="N213" s="12">
        <v>0</v>
      </c>
      <c r="O213" s="12">
        <v>0</v>
      </c>
      <c r="P213" s="12">
        <v>0</v>
      </c>
      <c r="Q213" s="16"/>
      <c r="R213" s="16"/>
    </row>
    <row r="214" spans="2:18" ht="40.200000000000003" customHeight="1" x14ac:dyDescent="0.4">
      <c r="B214" s="38"/>
      <c r="C214" s="3"/>
      <c r="D214" s="36"/>
      <c r="E214" s="40" t="s">
        <v>16</v>
      </c>
      <c r="F214" s="13">
        <f t="shared" si="139"/>
        <v>0</v>
      </c>
      <c r="H214" s="76" t="str">
        <f t="shared" ref="H214:H216" si="148">IF(G214="","",(G214))</f>
        <v/>
      </c>
      <c r="I214" s="15" t="str">
        <f t="shared" ref="I214:I216" si="149">IF(H214="","",(H214+I213-J214))</f>
        <v/>
      </c>
      <c r="J214" s="26"/>
      <c r="K214" s="26"/>
      <c r="L214" s="7">
        <f t="shared" ref="L214:L216" si="150">C214</f>
        <v>0</v>
      </c>
      <c r="M214" s="24">
        <f t="shared" ref="M214:M216" si="151">G214</f>
        <v>0</v>
      </c>
      <c r="N214" s="12">
        <v>0</v>
      </c>
      <c r="O214" s="12">
        <v>0</v>
      </c>
      <c r="P214" s="12">
        <v>0</v>
      </c>
      <c r="Q214" s="16"/>
      <c r="R214" s="16"/>
    </row>
    <row r="215" spans="2:18" ht="40.200000000000003" customHeight="1" x14ac:dyDescent="0.4">
      <c r="B215" s="38"/>
      <c r="C215" s="3"/>
      <c r="D215" s="36"/>
      <c r="E215" s="40" t="s">
        <v>16</v>
      </c>
      <c r="F215" s="13">
        <f t="shared" si="139"/>
        <v>0</v>
      </c>
      <c r="H215" s="76" t="str">
        <f t="shared" si="148"/>
        <v/>
      </c>
      <c r="I215" s="15" t="str">
        <f t="shared" si="149"/>
        <v/>
      </c>
      <c r="J215" s="26"/>
      <c r="K215" s="26"/>
      <c r="L215" s="7">
        <f t="shared" si="150"/>
        <v>0</v>
      </c>
      <c r="M215" s="24">
        <f t="shared" si="151"/>
        <v>0</v>
      </c>
      <c r="N215" s="12">
        <v>0</v>
      </c>
      <c r="O215" s="12">
        <v>0</v>
      </c>
      <c r="P215" s="12">
        <v>0</v>
      </c>
      <c r="Q215" s="16"/>
      <c r="R215" s="16"/>
    </row>
    <row r="216" spans="2:18" ht="40.200000000000003" customHeight="1" x14ac:dyDescent="0.4">
      <c r="B216" s="38"/>
      <c r="C216" s="3"/>
      <c r="D216" s="36"/>
      <c r="E216" s="40" t="s">
        <v>16</v>
      </c>
      <c r="F216" s="13">
        <f t="shared" si="139"/>
        <v>0</v>
      </c>
      <c r="H216" s="76" t="str">
        <f t="shared" si="148"/>
        <v/>
      </c>
      <c r="I216" s="15" t="str">
        <f t="shared" si="149"/>
        <v/>
      </c>
      <c r="J216" s="26"/>
      <c r="K216" s="26"/>
      <c r="L216" s="7">
        <f t="shared" si="150"/>
        <v>0</v>
      </c>
      <c r="M216" s="24">
        <f t="shared" si="151"/>
        <v>0</v>
      </c>
      <c r="N216" s="12">
        <v>0</v>
      </c>
      <c r="O216" s="12">
        <v>0</v>
      </c>
      <c r="P216" s="12">
        <v>0</v>
      </c>
      <c r="Q216" s="16"/>
      <c r="R216" s="16"/>
    </row>
    <row r="217" spans="2:18" ht="40.200000000000003" customHeight="1" x14ac:dyDescent="0.4">
      <c r="B217" s="38"/>
      <c r="C217" s="3"/>
      <c r="D217" s="36"/>
      <c r="E217" s="40" t="s">
        <v>16</v>
      </c>
      <c r="F217" s="13">
        <f t="shared" si="139"/>
        <v>0</v>
      </c>
      <c r="H217" s="76" t="str">
        <f t="shared" ref="H217:H222" si="152">IF(G217="","",(G217))</f>
        <v/>
      </c>
      <c r="I217" s="15" t="str">
        <f t="shared" ref="I217:I222" si="153">IF(H217="","",(H217+I216-J217))</f>
        <v/>
      </c>
      <c r="J217" s="26"/>
      <c r="K217" s="26"/>
      <c r="L217" s="7">
        <f t="shared" ref="L217:L222" si="154">C217</f>
        <v>0</v>
      </c>
      <c r="M217" s="24">
        <f t="shared" ref="M217:M222" si="155">G217</f>
        <v>0</v>
      </c>
      <c r="N217" s="12">
        <v>0</v>
      </c>
      <c r="O217" s="12">
        <v>0</v>
      </c>
      <c r="P217" s="12">
        <v>0</v>
      </c>
      <c r="Q217" s="16"/>
      <c r="R217" s="16"/>
    </row>
    <row r="218" spans="2:18" ht="40.200000000000003" customHeight="1" x14ac:dyDescent="0.4">
      <c r="B218" s="38"/>
      <c r="C218" s="3"/>
      <c r="D218" s="36"/>
      <c r="E218" s="40" t="s">
        <v>16</v>
      </c>
      <c r="F218" s="13">
        <f t="shared" si="139"/>
        <v>0</v>
      </c>
      <c r="H218" s="76" t="str">
        <f t="shared" si="152"/>
        <v/>
      </c>
      <c r="I218" s="15" t="str">
        <f t="shared" si="153"/>
        <v/>
      </c>
      <c r="J218" s="26"/>
      <c r="K218" s="26"/>
      <c r="L218" s="7">
        <f t="shared" si="154"/>
        <v>0</v>
      </c>
      <c r="M218" s="24">
        <f t="shared" si="155"/>
        <v>0</v>
      </c>
      <c r="N218" s="12">
        <v>0</v>
      </c>
      <c r="O218" s="12">
        <v>0</v>
      </c>
      <c r="P218" s="12">
        <v>0</v>
      </c>
      <c r="Q218" s="16"/>
      <c r="R218" s="16"/>
    </row>
    <row r="219" spans="2:18" ht="40.200000000000003" customHeight="1" x14ac:dyDescent="0.4">
      <c r="B219" s="38"/>
      <c r="C219" s="3"/>
      <c r="D219" s="36"/>
      <c r="E219" s="40" t="s">
        <v>16</v>
      </c>
      <c r="F219" s="13">
        <f t="shared" si="139"/>
        <v>0</v>
      </c>
      <c r="H219" s="76" t="str">
        <f t="shared" si="152"/>
        <v/>
      </c>
      <c r="I219" s="15" t="str">
        <f t="shared" si="153"/>
        <v/>
      </c>
      <c r="J219" s="26"/>
      <c r="K219" s="26"/>
      <c r="L219" s="7">
        <f t="shared" si="154"/>
        <v>0</v>
      </c>
      <c r="M219" s="24">
        <f t="shared" si="155"/>
        <v>0</v>
      </c>
      <c r="N219" s="12">
        <v>0</v>
      </c>
      <c r="O219" s="12">
        <v>0</v>
      </c>
      <c r="P219" s="12">
        <v>0</v>
      </c>
      <c r="Q219" s="16"/>
      <c r="R219" s="16"/>
    </row>
    <row r="220" spans="2:18" ht="40.200000000000003" customHeight="1" x14ac:dyDescent="0.4">
      <c r="B220" s="38"/>
      <c r="C220" s="3"/>
      <c r="D220" s="36"/>
      <c r="E220" s="40" t="s">
        <v>16</v>
      </c>
      <c r="F220" s="13">
        <f t="shared" si="139"/>
        <v>0</v>
      </c>
      <c r="H220" s="76" t="str">
        <f t="shared" si="152"/>
        <v/>
      </c>
      <c r="I220" s="15" t="str">
        <f t="shared" si="153"/>
        <v/>
      </c>
      <c r="J220" s="26"/>
      <c r="K220" s="26"/>
      <c r="L220" s="7">
        <f t="shared" si="154"/>
        <v>0</v>
      </c>
      <c r="M220" s="24">
        <f t="shared" si="155"/>
        <v>0</v>
      </c>
      <c r="N220" s="12">
        <v>0</v>
      </c>
      <c r="O220" s="12">
        <v>0</v>
      </c>
      <c r="P220" s="12">
        <v>0</v>
      </c>
      <c r="Q220" s="16"/>
      <c r="R220" s="16"/>
    </row>
    <row r="221" spans="2:18" ht="40.200000000000003" customHeight="1" x14ac:dyDescent="0.4">
      <c r="B221" s="38"/>
      <c r="C221" s="3"/>
      <c r="D221" s="36"/>
      <c r="E221" s="40" t="s">
        <v>16</v>
      </c>
      <c r="F221" s="13">
        <f t="shared" si="139"/>
        <v>0</v>
      </c>
      <c r="H221" s="76" t="str">
        <f t="shared" si="152"/>
        <v/>
      </c>
      <c r="I221" s="15" t="str">
        <f t="shared" si="153"/>
        <v/>
      </c>
      <c r="J221" s="26"/>
      <c r="K221" s="26"/>
      <c r="L221" s="7">
        <f t="shared" si="154"/>
        <v>0</v>
      </c>
      <c r="M221" s="24">
        <f t="shared" si="155"/>
        <v>0</v>
      </c>
      <c r="N221" s="12">
        <v>0</v>
      </c>
      <c r="O221" s="12">
        <v>0</v>
      </c>
      <c r="P221" s="12">
        <v>0</v>
      </c>
      <c r="Q221" s="16"/>
      <c r="R221" s="16"/>
    </row>
    <row r="222" spans="2:18" ht="40.200000000000003" customHeight="1" x14ac:dyDescent="0.4">
      <c r="B222" s="38"/>
      <c r="C222" s="3"/>
      <c r="D222" s="36"/>
      <c r="E222" s="40" t="s">
        <v>16</v>
      </c>
      <c r="F222" s="13">
        <f t="shared" si="139"/>
        <v>0</v>
      </c>
      <c r="H222" s="76" t="str">
        <f t="shared" si="152"/>
        <v/>
      </c>
      <c r="I222" s="15" t="str">
        <f t="shared" si="153"/>
        <v/>
      </c>
      <c r="J222" s="26"/>
      <c r="K222" s="26"/>
      <c r="L222" s="7">
        <f t="shared" si="154"/>
        <v>0</v>
      </c>
      <c r="M222" s="24">
        <f t="shared" si="155"/>
        <v>0</v>
      </c>
      <c r="N222" s="12">
        <v>0</v>
      </c>
      <c r="O222" s="12">
        <v>0</v>
      </c>
      <c r="P222" s="12">
        <v>0</v>
      </c>
      <c r="Q222" s="16"/>
      <c r="R222" s="16"/>
    </row>
    <row r="223" spans="2:18" ht="40.200000000000003" customHeight="1" x14ac:dyDescent="0.4">
      <c r="B223" s="38"/>
      <c r="C223" s="3"/>
      <c r="D223" s="36"/>
      <c r="E223" s="40" t="s">
        <v>16</v>
      </c>
      <c r="F223" s="13">
        <f t="shared" si="139"/>
        <v>0</v>
      </c>
      <c r="H223" s="76" t="str">
        <f t="shared" ref="H223:H228" si="156">IF(G223="","",(G223))</f>
        <v/>
      </c>
      <c r="I223" s="15" t="str">
        <f t="shared" ref="I223:I228" si="157">IF(H223="","",(H223+I222-J223))</f>
        <v/>
      </c>
      <c r="J223" s="26"/>
      <c r="K223" s="26"/>
      <c r="L223" s="7">
        <f t="shared" ref="L223:L228" si="158">C223</f>
        <v>0</v>
      </c>
      <c r="M223" s="24">
        <f t="shared" ref="M223:M228" si="159">G223</f>
        <v>0</v>
      </c>
      <c r="N223" s="12">
        <v>0</v>
      </c>
      <c r="O223" s="12">
        <v>0</v>
      </c>
      <c r="P223" s="12">
        <v>0</v>
      </c>
      <c r="Q223" s="16"/>
      <c r="R223" s="16"/>
    </row>
    <row r="224" spans="2:18" ht="40.200000000000003" customHeight="1" x14ac:dyDescent="0.4">
      <c r="B224" s="38"/>
      <c r="C224" s="3"/>
      <c r="D224" s="36"/>
      <c r="E224" s="40" t="s">
        <v>16</v>
      </c>
      <c r="F224" s="13">
        <f t="shared" si="139"/>
        <v>0</v>
      </c>
      <c r="H224" s="76" t="str">
        <f t="shared" si="156"/>
        <v/>
      </c>
      <c r="I224" s="15" t="str">
        <f t="shared" si="157"/>
        <v/>
      </c>
      <c r="J224" s="26"/>
      <c r="K224" s="26"/>
      <c r="L224" s="7">
        <f t="shared" si="158"/>
        <v>0</v>
      </c>
      <c r="M224" s="24">
        <f t="shared" si="159"/>
        <v>0</v>
      </c>
      <c r="N224" s="12">
        <v>0</v>
      </c>
      <c r="O224" s="12">
        <v>0</v>
      </c>
      <c r="P224" s="12">
        <v>0</v>
      </c>
      <c r="Q224" s="16"/>
      <c r="R224" s="16"/>
    </row>
    <row r="225" spans="2:18" ht="40.200000000000003" customHeight="1" x14ac:dyDescent="0.4">
      <c r="B225" s="38"/>
      <c r="C225" s="3"/>
      <c r="D225" s="36"/>
      <c r="E225" s="40" t="s">
        <v>16</v>
      </c>
      <c r="F225" s="13">
        <f t="shared" si="139"/>
        <v>0</v>
      </c>
      <c r="H225" s="76" t="str">
        <f t="shared" si="156"/>
        <v/>
      </c>
      <c r="I225" s="15" t="str">
        <f t="shared" si="157"/>
        <v/>
      </c>
      <c r="J225" s="26"/>
      <c r="K225" s="26"/>
      <c r="L225" s="7">
        <f t="shared" si="158"/>
        <v>0</v>
      </c>
      <c r="M225" s="24">
        <f t="shared" si="159"/>
        <v>0</v>
      </c>
      <c r="N225" s="12">
        <v>0</v>
      </c>
      <c r="O225" s="12">
        <v>0</v>
      </c>
      <c r="P225" s="12">
        <v>0</v>
      </c>
      <c r="Q225" s="16"/>
      <c r="R225" s="16"/>
    </row>
    <row r="226" spans="2:18" ht="40.200000000000003" customHeight="1" x14ac:dyDescent="0.4">
      <c r="B226" s="38"/>
      <c r="C226" s="3"/>
      <c r="D226" s="36"/>
      <c r="E226" s="40" t="s">
        <v>16</v>
      </c>
      <c r="F226" s="13">
        <f t="shared" si="139"/>
        <v>0</v>
      </c>
      <c r="H226" s="76" t="str">
        <f t="shared" si="156"/>
        <v/>
      </c>
      <c r="I226" s="15" t="str">
        <f t="shared" si="157"/>
        <v/>
      </c>
      <c r="J226" s="26"/>
      <c r="K226" s="26"/>
      <c r="L226" s="7">
        <f t="shared" si="158"/>
        <v>0</v>
      </c>
      <c r="M226" s="24">
        <f t="shared" si="159"/>
        <v>0</v>
      </c>
      <c r="N226" s="12">
        <v>0</v>
      </c>
      <c r="O226" s="12">
        <v>0</v>
      </c>
      <c r="P226" s="12">
        <v>0</v>
      </c>
      <c r="Q226" s="16"/>
      <c r="R226" s="16"/>
    </row>
    <row r="227" spans="2:18" ht="40.200000000000003" customHeight="1" x14ac:dyDescent="0.4">
      <c r="B227" s="38"/>
      <c r="C227" s="3"/>
      <c r="D227" s="36"/>
      <c r="E227" s="40" t="s">
        <v>16</v>
      </c>
      <c r="F227" s="13">
        <f t="shared" si="139"/>
        <v>0</v>
      </c>
      <c r="H227" s="76" t="str">
        <f t="shared" si="156"/>
        <v/>
      </c>
      <c r="I227" s="15" t="str">
        <f t="shared" si="157"/>
        <v/>
      </c>
      <c r="J227" s="26"/>
      <c r="K227" s="26"/>
      <c r="L227" s="7">
        <f t="shared" si="158"/>
        <v>0</v>
      </c>
      <c r="M227" s="24">
        <f t="shared" si="159"/>
        <v>0</v>
      </c>
      <c r="N227" s="12">
        <v>0</v>
      </c>
      <c r="O227" s="12">
        <v>0</v>
      </c>
      <c r="P227" s="12">
        <v>0</v>
      </c>
      <c r="Q227" s="16"/>
      <c r="R227" s="16"/>
    </row>
    <row r="228" spans="2:18" ht="40.200000000000003" customHeight="1" x14ac:dyDescent="0.4">
      <c r="B228" s="38"/>
      <c r="C228" s="3"/>
      <c r="D228" s="36"/>
      <c r="E228" s="40" t="s">
        <v>16</v>
      </c>
      <c r="F228" s="13">
        <f t="shared" si="139"/>
        <v>0</v>
      </c>
      <c r="H228" s="76" t="str">
        <f t="shared" si="156"/>
        <v/>
      </c>
      <c r="I228" s="15" t="str">
        <f t="shared" si="157"/>
        <v/>
      </c>
      <c r="J228" s="26"/>
      <c r="K228" s="26"/>
      <c r="L228" s="7">
        <f t="shared" si="158"/>
        <v>0</v>
      </c>
      <c r="M228" s="24">
        <f t="shared" si="159"/>
        <v>0</v>
      </c>
      <c r="N228" s="12">
        <v>0</v>
      </c>
      <c r="O228" s="12">
        <v>0</v>
      </c>
      <c r="P228" s="12">
        <v>0</v>
      </c>
      <c r="Q228" s="16"/>
      <c r="R228" s="16"/>
    </row>
    <row r="229" spans="2:18" ht="40.200000000000003" customHeight="1" x14ac:dyDescent="0.4">
      <c r="B229" s="38"/>
      <c r="C229" s="3"/>
      <c r="D229" s="36"/>
      <c r="E229" s="40" t="s">
        <v>16</v>
      </c>
      <c r="F229" s="13">
        <f t="shared" si="139"/>
        <v>0</v>
      </c>
      <c r="H229" s="76" t="str">
        <f t="shared" ref="H229:H234" si="160">IF(G229="","",(G229))</f>
        <v/>
      </c>
      <c r="I229" s="15" t="str">
        <f t="shared" ref="I229:I234" si="161">IF(H229="","",(H229+I228-J229))</f>
        <v/>
      </c>
      <c r="J229" s="26"/>
      <c r="K229" s="26"/>
      <c r="L229" s="7">
        <f t="shared" ref="L229:L234" si="162">C229</f>
        <v>0</v>
      </c>
      <c r="M229" s="24">
        <f t="shared" ref="M229:M234" si="163">G229</f>
        <v>0</v>
      </c>
      <c r="N229" s="12">
        <v>0</v>
      </c>
      <c r="O229" s="12">
        <v>0</v>
      </c>
      <c r="P229" s="12">
        <v>0</v>
      </c>
      <c r="Q229" s="16"/>
      <c r="R229" s="16"/>
    </row>
    <row r="230" spans="2:18" ht="40.200000000000003" customHeight="1" x14ac:dyDescent="0.4">
      <c r="B230" s="38"/>
      <c r="C230" s="3"/>
      <c r="D230" s="36"/>
      <c r="E230" s="40" t="s">
        <v>16</v>
      </c>
      <c r="F230" s="13">
        <f t="shared" si="139"/>
        <v>0</v>
      </c>
      <c r="H230" s="76" t="str">
        <f t="shared" si="160"/>
        <v/>
      </c>
      <c r="I230" s="15" t="str">
        <f t="shared" si="161"/>
        <v/>
      </c>
      <c r="J230" s="26"/>
      <c r="K230" s="26"/>
      <c r="L230" s="7">
        <f t="shared" si="162"/>
        <v>0</v>
      </c>
      <c r="M230" s="24">
        <f t="shared" si="163"/>
        <v>0</v>
      </c>
      <c r="N230" s="12">
        <v>0</v>
      </c>
      <c r="O230" s="12">
        <v>0</v>
      </c>
      <c r="P230" s="12">
        <v>0</v>
      </c>
      <c r="Q230" s="16"/>
      <c r="R230" s="16"/>
    </row>
    <row r="231" spans="2:18" ht="40.200000000000003" customHeight="1" x14ac:dyDescent="0.4">
      <c r="B231" s="38"/>
      <c r="C231" s="3"/>
      <c r="D231" s="36"/>
      <c r="E231" s="40" t="s">
        <v>16</v>
      </c>
      <c r="F231" s="13">
        <f t="shared" si="139"/>
        <v>0</v>
      </c>
      <c r="H231" s="76" t="str">
        <f t="shared" si="160"/>
        <v/>
      </c>
      <c r="I231" s="15" t="str">
        <f t="shared" si="161"/>
        <v/>
      </c>
      <c r="J231" s="26"/>
      <c r="K231" s="26"/>
      <c r="L231" s="7">
        <f t="shared" si="162"/>
        <v>0</v>
      </c>
      <c r="M231" s="24">
        <f t="shared" si="163"/>
        <v>0</v>
      </c>
      <c r="N231" s="12">
        <v>0</v>
      </c>
      <c r="O231" s="12">
        <v>0</v>
      </c>
      <c r="P231" s="12">
        <v>0</v>
      </c>
      <c r="Q231" s="16"/>
      <c r="R231" s="16"/>
    </row>
    <row r="232" spans="2:18" ht="40.200000000000003" customHeight="1" x14ac:dyDescent="0.4">
      <c r="B232" s="38"/>
      <c r="C232" s="3"/>
      <c r="D232" s="36"/>
      <c r="E232" s="40" t="s">
        <v>16</v>
      </c>
      <c r="F232" s="13">
        <f t="shared" si="139"/>
        <v>0</v>
      </c>
      <c r="H232" s="76" t="str">
        <f t="shared" si="160"/>
        <v/>
      </c>
      <c r="I232" s="15" t="str">
        <f t="shared" si="161"/>
        <v/>
      </c>
      <c r="J232" s="26"/>
      <c r="K232" s="26"/>
      <c r="L232" s="7">
        <f t="shared" si="162"/>
        <v>0</v>
      </c>
      <c r="M232" s="24">
        <f t="shared" si="163"/>
        <v>0</v>
      </c>
      <c r="N232" s="12">
        <v>0</v>
      </c>
      <c r="O232" s="12">
        <v>0</v>
      </c>
      <c r="P232" s="12">
        <v>0</v>
      </c>
      <c r="Q232" s="16"/>
      <c r="R232" s="16"/>
    </row>
    <row r="233" spans="2:18" ht="40.200000000000003" customHeight="1" x14ac:dyDescent="0.4">
      <c r="B233" s="38"/>
      <c r="C233" s="3"/>
      <c r="D233" s="36"/>
      <c r="E233" s="40" t="s">
        <v>16</v>
      </c>
      <c r="F233" s="13">
        <f t="shared" si="139"/>
        <v>0</v>
      </c>
      <c r="H233" s="76" t="str">
        <f t="shared" si="160"/>
        <v/>
      </c>
      <c r="I233" s="15" t="str">
        <f t="shared" si="161"/>
        <v/>
      </c>
      <c r="J233" s="26"/>
      <c r="K233" s="26"/>
      <c r="L233" s="7">
        <f t="shared" si="162"/>
        <v>0</v>
      </c>
      <c r="M233" s="24">
        <f t="shared" si="163"/>
        <v>0</v>
      </c>
      <c r="N233" s="12">
        <v>0</v>
      </c>
      <c r="O233" s="12">
        <v>0</v>
      </c>
      <c r="P233" s="12">
        <v>0</v>
      </c>
      <c r="Q233" s="16"/>
      <c r="R233" s="16"/>
    </row>
    <row r="234" spans="2:18" ht="40.200000000000003" customHeight="1" x14ac:dyDescent="0.4">
      <c r="B234" s="38"/>
      <c r="C234" s="3"/>
      <c r="D234" s="36"/>
      <c r="E234" s="40" t="s">
        <v>16</v>
      </c>
      <c r="F234" s="13">
        <f t="shared" si="139"/>
        <v>0</v>
      </c>
      <c r="H234" s="76" t="str">
        <f t="shared" si="160"/>
        <v/>
      </c>
      <c r="I234" s="15" t="str">
        <f t="shared" si="161"/>
        <v/>
      </c>
      <c r="J234" s="26"/>
      <c r="K234" s="26"/>
      <c r="L234" s="7">
        <f t="shared" si="162"/>
        <v>0</v>
      </c>
      <c r="M234" s="24">
        <f t="shared" si="163"/>
        <v>0</v>
      </c>
      <c r="N234" s="12">
        <v>0</v>
      </c>
      <c r="O234" s="12">
        <v>0</v>
      </c>
      <c r="P234" s="12">
        <v>0</v>
      </c>
      <c r="Q234" s="16"/>
      <c r="R234" s="16"/>
    </row>
    <row r="235" spans="2:18" ht="40.200000000000003" customHeight="1" x14ac:dyDescent="0.4">
      <c r="B235" s="38"/>
      <c r="C235" s="3"/>
      <c r="D235" s="36"/>
      <c r="E235" s="40" t="s">
        <v>16</v>
      </c>
      <c r="F235" s="13">
        <f t="shared" si="139"/>
        <v>0</v>
      </c>
      <c r="H235" s="76" t="str">
        <f t="shared" ref="H235:H237" si="164">IF(G235="","",(G235))</f>
        <v/>
      </c>
      <c r="I235" s="15" t="str">
        <f t="shared" ref="I235:I237" si="165">IF(H235="","",(H235+I234-J235))</f>
        <v/>
      </c>
      <c r="J235" s="26"/>
      <c r="K235" s="26"/>
      <c r="L235" s="7">
        <f t="shared" ref="L235:L237" si="166">C235</f>
        <v>0</v>
      </c>
      <c r="M235" s="24">
        <f t="shared" ref="M235:M237" si="167">G235</f>
        <v>0</v>
      </c>
      <c r="N235" s="12">
        <v>0</v>
      </c>
      <c r="O235" s="12">
        <v>0</v>
      </c>
      <c r="P235" s="12">
        <v>0</v>
      </c>
      <c r="Q235" s="16"/>
      <c r="R235" s="16"/>
    </row>
    <row r="236" spans="2:18" ht="40.200000000000003" customHeight="1" x14ac:dyDescent="0.4">
      <c r="B236" s="38"/>
      <c r="C236" s="3"/>
      <c r="D236" s="36"/>
      <c r="E236" s="40" t="s">
        <v>16</v>
      </c>
      <c r="F236" s="13">
        <f t="shared" si="139"/>
        <v>0</v>
      </c>
      <c r="H236" s="76" t="str">
        <f t="shared" si="164"/>
        <v/>
      </c>
      <c r="I236" s="15" t="str">
        <f t="shared" si="165"/>
        <v/>
      </c>
      <c r="J236" s="26"/>
      <c r="K236" s="26"/>
      <c r="L236" s="7">
        <f t="shared" si="166"/>
        <v>0</v>
      </c>
      <c r="M236" s="24">
        <f t="shared" si="167"/>
        <v>0</v>
      </c>
      <c r="N236" s="12">
        <v>0</v>
      </c>
      <c r="O236" s="12">
        <v>0</v>
      </c>
      <c r="P236" s="12">
        <v>0</v>
      </c>
      <c r="Q236" s="16"/>
      <c r="R236" s="16"/>
    </row>
    <row r="237" spans="2:18" ht="40.200000000000003" customHeight="1" x14ac:dyDescent="0.4">
      <c r="B237" s="38"/>
      <c r="C237" s="3"/>
      <c r="D237" s="36"/>
      <c r="E237" s="40" t="s">
        <v>16</v>
      </c>
      <c r="F237" s="13">
        <f t="shared" si="139"/>
        <v>0</v>
      </c>
      <c r="H237" s="76" t="str">
        <f t="shared" si="164"/>
        <v/>
      </c>
      <c r="I237" s="15" t="str">
        <f t="shared" si="165"/>
        <v/>
      </c>
      <c r="J237" s="26"/>
      <c r="K237" s="26"/>
      <c r="L237" s="7">
        <f t="shared" si="166"/>
        <v>0</v>
      </c>
      <c r="M237" s="24">
        <f t="shared" si="167"/>
        <v>0</v>
      </c>
      <c r="N237" s="12">
        <v>0</v>
      </c>
      <c r="O237" s="12">
        <v>0</v>
      </c>
      <c r="P237" s="12">
        <v>0</v>
      </c>
      <c r="Q237" s="16"/>
      <c r="R237" s="16"/>
    </row>
    <row r="238" spans="2:18" ht="40.200000000000003" customHeight="1" x14ac:dyDescent="0.4">
      <c r="B238" s="38"/>
      <c r="C238" s="3"/>
      <c r="D238" s="36"/>
      <c r="E238" s="40" t="s">
        <v>16</v>
      </c>
      <c r="F238" s="13">
        <f t="shared" si="139"/>
        <v>0</v>
      </c>
      <c r="H238" s="76" t="str">
        <f t="shared" ref="H238:H242" si="168">IF(G238="","",(G238))</f>
        <v/>
      </c>
      <c r="I238" s="15" t="str">
        <f t="shared" ref="I238:I242" si="169">IF(H238="","",(H238+I237-J238))</f>
        <v/>
      </c>
      <c r="J238" s="26"/>
      <c r="K238" s="26"/>
      <c r="L238" s="7">
        <f t="shared" ref="L238:L242" si="170">C238</f>
        <v>0</v>
      </c>
      <c r="M238" s="24">
        <f t="shared" ref="M238:M242" si="171">G238</f>
        <v>0</v>
      </c>
      <c r="N238" s="12">
        <v>0</v>
      </c>
      <c r="O238" s="12">
        <v>0</v>
      </c>
      <c r="P238" s="12">
        <v>0</v>
      </c>
      <c r="Q238" s="16"/>
      <c r="R238" s="16"/>
    </row>
    <row r="239" spans="2:18" ht="40.200000000000003" customHeight="1" x14ac:dyDescent="0.4">
      <c r="B239" s="38"/>
      <c r="C239" s="3"/>
      <c r="D239" s="36"/>
      <c r="E239" s="40" t="s">
        <v>16</v>
      </c>
      <c r="F239" s="13">
        <f t="shared" si="139"/>
        <v>0</v>
      </c>
      <c r="H239" s="76" t="str">
        <f t="shared" si="168"/>
        <v/>
      </c>
      <c r="I239" s="15" t="str">
        <f t="shared" si="169"/>
        <v/>
      </c>
      <c r="J239" s="26"/>
      <c r="K239" s="26"/>
      <c r="L239" s="7">
        <f t="shared" si="170"/>
        <v>0</v>
      </c>
      <c r="M239" s="24">
        <f t="shared" si="171"/>
        <v>0</v>
      </c>
      <c r="N239" s="12">
        <v>0</v>
      </c>
      <c r="O239" s="12">
        <v>0</v>
      </c>
      <c r="P239" s="12">
        <v>0</v>
      </c>
      <c r="Q239" s="16"/>
      <c r="R239" s="16"/>
    </row>
    <row r="240" spans="2:18" ht="40.200000000000003" customHeight="1" x14ac:dyDescent="0.4">
      <c r="B240" s="38"/>
      <c r="C240" s="3"/>
      <c r="D240" s="36"/>
      <c r="E240" s="40" t="s">
        <v>16</v>
      </c>
      <c r="F240" s="13">
        <f t="shared" si="139"/>
        <v>0</v>
      </c>
      <c r="H240" s="76" t="str">
        <f t="shared" si="168"/>
        <v/>
      </c>
      <c r="I240" s="15" t="str">
        <f t="shared" si="169"/>
        <v/>
      </c>
      <c r="J240" s="26"/>
      <c r="K240" s="26"/>
      <c r="L240" s="7">
        <f t="shared" si="170"/>
        <v>0</v>
      </c>
      <c r="M240" s="24">
        <f t="shared" si="171"/>
        <v>0</v>
      </c>
      <c r="N240" s="12">
        <v>0</v>
      </c>
      <c r="O240" s="12">
        <v>0</v>
      </c>
      <c r="P240" s="12">
        <v>0</v>
      </c>
      <c r="Q240" s="16"/>
      <c r="R240" s="16"/>
    </row>
    <row r="241" spans="2:18" ht="40.200000000000003" customHeight="1" x14ac:dyDescent="0.4">
      <c r="B241" s="38"/>
      <c r="C241" s="3"/>
      <c r="D241" s="36"/>
      <c r="E241" s="40" t="s">
        <v>16</v>
      </c>
      <c r="F241" s="13">
        <f t="shared" si="139"/>
        <v>0</v>
      </c>
      <c r="H241" s="76" t="str">
        <f t="shared" si="168"/>
        <v/>
      </c>
      <c r="I241" s="15" t="str">
        <f t="shared" si="169"/>
        <v/>
      </c>
      <c r="J241" s="26"/>
      <c r="K241" s="26"/>
      <c r="L241" s="7">
        <f t="shared" si="170"/>
        <v>0</v>
      </c>
      <c r="M241" s="24">
        <f t="shared" si="171"/>
        <v>0</v>
      </c>
      <c r="N241" s="12">
        <v>0</v>
      </c>
      <c r="O241" s="12">
        <v>0</v>
      </c>
      <c r="P241" s="12">
        <v>0</v>
      </c>
      <c r="Q241" s="16"/>
      <c r="R241" s="16"/>
    </row>
    <row r="242" spans="2:18" ht="40.200000000000003" customHeight="1" x14ac:dyDescent="0.4">
      <c r="B242" s="38"/>
      <c r="C242" s="3"/>
      <c r="D242" s="36"/>
      <c r="E242" s="40" t="s">
        <v>16</v>
      </c>
      <c r="F242" s="13">
        <f t="shared" si="139"/>
        <v>0</v>
      </c>
      <c r="H242" s="76" t="str">
        <f t="shared" si="168"/>
        <v/>
      </c>
      <c r="I242" s="15" t="str">
        <f t="shared" si="169"/>
        <v/>
      </c>
      <c r="J242" s="26"/>
      <c r="K242" s="26"/>
      <c r="L242" s="7">
        <f t="shared" si="170"/>
        <v>0</v>
      </c>
      <c r="M242" s="24">
        <f t="shared" si="171"/>
        <v>0</v>
      </c>
      <c r="N242" s="12">
        <v>0</v>
      </c>
      <c r="O242" s="12">
        <v>0</v>
      </c>
      <c r="P242" s="12">
        <v>0</v>
      </c>
      <c r="Q242" s="16"/>
      <c r="R242" s="16"/>
    </row>
    <row r="243" spans="2:18" ht="40.200000000000003" customHeight="1" x14ac:dyDescent="0.4">
      <c r="B243" s="38"/>
      <c r="C243" s="3"/>
      <c r="D243" s="36"/>
      <c r="E243" s="40" t="s">
        <v>16</v>
      </c>
      <c r="F243" s="13">
        <f t="shared" si="139"/>
        <v>0</v>
      </c>
      <c r="H243" s="76" t="str">
        <f t="shared" ref="H243:H246" si="172">IF(G243="","",(G243))</f>
        <v/>
      </c>
      <c r="I243" s="15" t="str">
        <f t="shared" ref="I243" si="173">IF(H243="","",(H243+I242-J243))</f>
        <v/>
      </c>
      <c r="J243" s="26"/>
      <c r="K243" s="26"/>
      <c r="L243" s="7">
        <f t="shared" ref="L243:L246" si="174">C243</f>
        <v>0</v>
      </c>
      <c r="M243" s="24">
        <f t="shared" ref="M243:M246" si="175">G243</f>
        <v>0</v>
      </c>
      <c r="N243" s="12">
        <v>0</v>
      </c>
      <c r="O243" s="12">
        <v>0</v>
      </c>
      <c r="P243" s="12">
        <v>0</v>
      </c>
      <c r="Q243" s="16"/>
      <c r="R243" s="16"/>
    </row>
    <row r="244" spans="2:18" ht="40.200000000000003" customHeight="1" x14ac:dyDescent="0.4">
      <c r="B244" s="38"/>
      <c r="C244" s="3"/>
      <c r="D244" s="36"/>
      <c r="E244" s="40" t="s">
        <v>16</v>
      </c>
      <c r="F244" s="13">
        <f t="shared" si="139"/>
        <v>0</v>
      </c>
      <c r="H244" s="76" t="str">
        <f t="shared" si="172"/>
        <v/>
      </c>
      <c r="I244" s="15" t="str">
        <f>IF(H244="","",(H244+I243-J244))</f>
        <v/>
      </c>
      <c r="J244" s="26"/>
      <c r="K244" s="26"/>
      <c r="L244" s="7">
        <f t="shared" si="174"/>
        <v>0</v>
      </c>
      <c r="M244" s="24">
        <f t="shared" si="175"/>
        <v>0</v>
      </c>
      <c r="N244" s="12">
        <v>0</v>
      </c>
      <c r="O244" s="12">
        <v>0</v>
      </c>
      <c r="P244" s="12">
        <v>0</v>
      </c>
      <c r="Q244" s="16"/>
      <c r="R244" s="16"/>
    </row>
    <row r="245" spans="2:18" ht="40.200000000000003" customHeight="1" x14ac:dyDescent="0.4">
      <c r="B245" s="38"/>
      <c r="C245" s="3"/>
      <c r="D245" s="36"/>
      <c r="E245" s="40" t="s">
        <v>16</v>
      </c>
      <c r="F245" s="13">
        <f t="shared" si="139"/>
        <v>0</v>
      </c>
      <c r="H245" s="76" t="str">
        <f t="shared" si="172"/>
        <v/>
      </c>
      <c r="I245" s="15" t="str">
        <f>IF(H245="","",(H245+I244-J245))</f>
        <v/>
      </c>
      <c r="J245" s="26"/>
      <c r="K245" s="26"/>
      <c r="L245" s="7">
        <f t="shared" si="174"/>
        <v>0</v>
      </c>
      <c r="M245" s="24">
        <f t="shared" si="175"/>
        <v>0</v>
      </c>
      <c r="N245" s="12">
        <v>0</v>
      </c>
      <c r="O245" s="12">
        <v>0</v>
      </c>
      <c r="P245" s="12">
        <v>0</v>
      </c>
      <c r="Q245" s="16"/>
      <c r="R245" s="16"/>
    </row>
    <row r="246" spans="2:18" ht="40.200000000000003" customHeight="1" x14ac:dyDescent="0.4">
      <c r="B246" s="38"/>
      <c r="C246" s="3"/>
      <c r="D246" s="36"/>
      <c r="E246" s="40" t="s">
        <v>16</v>
      </c>
      <c r="F246" s="13">
        <f t="shared" si="139"/>
        <v>0</v>
      </c>
      <c r="H246" s="76" t="str">
        <f t="shared" si="172"/>
        <v/>
      </c>
      <c r="I246" s="15" t="str">
        <f t="shared" ref="I246:I252" si="176">IF(H246="","",(H246+I245-J246))</f>
        <v/>
      </c>
      <c r="J246" s="26"/>
      <c r="K246" s="26"/>
      <c r="L246" s="7">
        <f t="shared" si="174"/>
        <v>0</v>
      </c>
      <c r="M246" s="24">
        <f t="shared" si="175"/>
        <v>0</v>
      </c>
      <c r="N246" s="12">
        <v>0</v>
      </c>
      <c r="O246" s="12">
        <v>0</v>
      </c>
      <c r="P246" s="12">
        <v>0</v>
      </c>
      <c r="Q246" s="16"/>
      <c r="R246" s="16"/>
    </row>
    <row r="247" spans="2:18" ht="40.200000000000003" customHeight="1" x14ac:dyDescent="0.4">
      <c r="B247" s="38"/>
      <c r="C247" s="3"/>
      <c r="D247" s="36"/>
      <c r="E247" s="40" t="s">
        <v>16</v>
      </c>
      <c r="F247" s="13">
        <f t="shared" si="139"/>
        <v>0</v>
      </c>
      <c r="H247" s="76" t="str">
        <f t="shared" ref="H247:H251" si="177">IF(G247="","",(G247))</f>
        <v/>
      </c>
      <c r="I247" s="15" t="str">
        <f t="shared" si="176"/>
        <v/>
      </c>
      <c r="J247" s="26"/>
      <c r="K247" s="26"/>
      <c r="L247" s="7">
        <f t="shared" ref="L247:L251" si="178">C247</f>
        <v>0</v>
      </c>
      <c r="M247" s="24">
        <f t="shared" ref="M247:M251" si="179">G247</f>
        <v>0</v>
      </c>
      <c r="N247" s="12">
        <v>0</v>
      </c>
      <c r="O247" s="12">
        <v>0</v>
      </c>
      <c r="P247" s="12">
        <v>0</v>
      </c>
      <c r="Q247" s="16"/>
      <c r="R247" s="16"/>
    </row>
    <row r="248" spans="2:18" ht="40.200000000000003" customHeight="1" x14ac:dyDescent="0.4">
      <c r="B248" s="38"/>
      <c r="C248" s="3"/>
      <c r="D248" s="36"/>
      <c r="E248" s="40" t="s">
        <v>16</v>
      </c>
      <c r="F248" s="13">
        <f t="shared" si="139"/>
        <v>0</v>
      </c>
      <c r="H248" s="76" t="str">
        <f t="shared" si="177"/>
        <v/>
      </c>
      <c r="I248" s="15" t="str">
        <f t="shared" si="176"/>
        <v/>
      </c>
      <c r="J248" s="26"/>
      <c r="K248" s="26"/>
      <c r="L248" s="7">
        <f t="shared" si="178"/>
        <v>0</v>
      </c>
      <c r="M248" s="24">
        <f t="shared" si="179"/>
        <v>0</v>
      </c>
      <c r="N248" s="12">
        <v>0</v>
      </c>
      <c r="O248" s="12">
        <v>0</v>
      </c>
      <c r="P248" s="12">
        <v>0</v>
      </c>
      <c r="Q248" s="16"/>
      <c r="R248" s="16"/>
    </row>
    <row r="249" spans="2:18" ht="40.200000000000003" customHeight="1" x14ac:dyDescent="0.4">
      <c r="B249" s="38"/>
      <c r="C249" s="3"/>
      <c r="D249" s="36"/>
      <c r="E249" s="40" t="s">
        <v>16</v>
      </c>
      <c r="F249" s="13">
        <f t="shared" si="139"/>
        <v>0</v>
      </c>
      <c r="H249" s="76" t="str">
        <f t="shared" si="177"/>
        <v/>
      </c>
      <c r="I249" s="15" t="str">
        <f t="shared" si="176"/>
        <v/>
      </c>
      <c r="J249" s="26"/>
      <c r="K249" s="26"/>
      <c r="L249" s="7">
        <f t="shared" si="178"/>
        <v>0</v>
      </c>
      <c r="M249" s="24">
        <f t="shared" si="179"/>
        <v>0</v>
      </c>
      <c r="N249" s="12">
        <v>0</v>
      </c>
      <c r="O249" s="12">
        <v>0</v>
      </c>
      <c r="P249" s="12">
        <v>0</v>
      </c>
      <c r="Q249" s="16"/>
      <c r="R249" s="16"/>
    </row>
    <row r="250" spans="2:18" ht="40.200000000000003" customHeight="1" x14ac:dyDescent="0.4">
      <c r="B250" s="38"/>
      <c r="C250" s="3"/>
      <c r="D250" s="36"/>
      <c r="E250" s="40" t="s">
        <v>16</v>
      </c>
      <c r="F250" s="13">
        <f t="shared" si="139"/>
        <v>0</v>
      </c>
      <c r="H250" s="76" t="str">
        <f t="shared" si="177"/>
        <v/>
      </c>
      <c r="I250" s="15" t="str">
        <f t="shared" si="176"/>
        <v/>
      </c>
      <c r="J250" s="26"/>
      <c r="K250" s="26"/>
      <c r="L250" s="7">
        <f t="shared" si="178"/>
        <v>0</v>
      </c>
      <c r="M250" s="24">
        <f t="shared" si="179"/>
        <v>0</v>
      </c>
      <c r="N250" s="12">
        <v>0</v>
      </c>
      <c r="O250" s="12">
        <v>0</v>
      </c>
      <c r="P250" s="12">
        <v>0</v>
      </c>
      <c r="Q250" s="16"/>
      <c r="R250" s="16"/>
    </row>
    <row r="251" spans="2:18" ht="40.200000000000003" customHeight="1" x14ac:dyDescent="0.4">
      <c r="B251" s="38"/>
      <c r="C251" s="3"/>
      <c r="D251" s="36"/>
      <c r="E251" s="40" t="s">
        <v>16</v>
      </c>
      <c r="F251" s="13">
        <f t="shared" si="139"/>
        <v>0</v>
      </c>
      <c r="H251" s="76" t="str">
        <f t="shared" si="177"/>
        <v/>
      </c>
      <c r="I251" s="15" t="str">
        <f t="shared" si="176"/>
        <v/>
      </c>
      <c r="J251" s="26"/>
      <c r="K251" s="26"/>
      <c r="L251" s="7">
        <f t="shared" si="178"/>
        <v>0</v>
      </c>
      <c r="M251" s="24">
        <f t="shared" si="179"/>
        <v>0</v>
      </c>
      <c r="N251" s="12">
        <v>0</v>
      </c>
      <c r="O251" s="12">
        <v>0</v>
      </c>
      <c r="P251" s="12">
        <v>0</v>
      </c>
      <c r="Q251" s="16"/>
      <c r="R251" s="16"/>
    </row>
    <row r="252" spans="2:18" ht="40.200000000000003" customHeight="1" x14ac:dyDescent="0.4">
      <c r="B252" s="38"/>
      <c r="C252" s="3"/>
      <c r="D252" s="36"/>
      <c r="E252" s="40" t="s">
        <v>16</v>
      </c>
      <c r="F252" s="13">
        <f t="shared" si="139"/>
        <v>0</v>
      </c>
      <c r="H252" s="76" t="str">
        <f t="shared" ref="H252" si="180">IF(G252="","",(G252))</f>
        <v/>
      </c>
      <c r="I252" s="15" t="str">
        <f t="shared" si="176"/>
        <v/>
      </c>
      <c r="J252" s="26"/>
      <c r="K252" s="26"/>
      <c r="L252" s="7">
        <f t="shared" ref="L252" si="181">C252</f>
        <v>0</v>
      </c>
      <c r="M252" s="24">
        <f t="shared" ref="M252" si="182">G252</f>
        <v>0</v>
      </c>
      <c r="N252" s="12">
        <v>0</v>
      </c>
      <c r="O252" s="12">
        <v>0</v>
      </c>
      <c r="P252" s="12">
        <v>0</v>
      </c>
      <c r="Q252" s="16"/>
      <c r="R252" s="16"/>
    </row>
    <row r="253" spans="2:18" ht="40.200000000000003" customHeight="1" x14ac:dyDescent="0.4">
      <c r="B253" s="38"/>
      <c r="C253" s="3"/>
      <c r="D253" s="36"/>
      <c r="E253" s="40" t="s">
        <v>16</v>
      </c>
      <c r="F253" s="13">
        <f t="shared" si="139"/>
        <v>0</v>
      </c>
      <c r="H253" s="76" t="str">
        <f t="shared" ref="H253:H257" si="183">IF(G253="","",(G253))</f>
        <v/>
      </c>
      <c r="I253" s="15" t="str">
        <f t="shared" ref="I253:I257" si="184">IF(H253="","",(H253+I252-J253))</f>
        <v/>
      </c>
      <c r="J253" s="26"/>
      <c r="K253" s="26"/>
      <c r="L253" s="7">
        <f t="shared" ref="L253:L257" si="185">C253</f>
        <v>0</v>
      </c>
      <c r="M253" s="24">
        <f t="shared" ref="M253:M257" si="186">G253</f>
        <v>0</v>
      </c>
      <c r="N253" s="12">
        <v>0</v>
      </c>
      <c r="O253" s="12">
        <v>0</v>
      </c>
      <c r="P253" s="12">
        <v>0</v>
      </c>
      <c r="Q253" s="16"/>
      <c r="R253" s="16"/>
    </row>
    <row r="254" spans="2:18" ht="40.200000000000003" customHeight="1" x14ac:dyDescent="0.4">
      <c r="B254" s="38"/>
      <c r="C254" s="3"/>
      <c r="D254" s="36"/>
      <c r="E254" s="40" t="s">
        <v>16</v>
      </c>
      <c r="F254" s="13">
        <f t="shared" si="139"/>
        <v>0</v>
      </c>
      <c r="H254" s="76" t="str">
        <f t="shared" si="183"/>
        <v/>
      </c>
      <c r="I254" s="15" t="str">
        <f t="shared" si="184"/>
        <v/>
      </c>
      <c r="J254" s="26"/>
      <c r="K254" s="26"/>
      <c r="L254" s="7">
        <f t="shared" si="185"/>
        <v>0</v>
      </c>
      <c r="M254" s="24">
        <f t="shared" si="186"/>
        <v>0</v>
      </c>
      <c r="N254" s="12">
        <v>0</v>
      </c>
      <c r="O254" s="12">
        <v>0</v>
      </c>
      <c r="P254" s="12">
        <v>0</v>
      </c>
      <c r="Q254" s="16"/>
      <c r="R254" s="16"/>
    </row>
    <row r="255" spans="2:18" ht="40.200000000000003" customHeight="1" x14ac:dyDescent="0.4">
      <c r="B255" s="38"/>
      <c r="C255" s="3"/>
      <c r="D255" s="36"/>
      <c r="E255" s="40" t="s">
        <v>16</v>
      </c>
      <c r="F255" s="13">
        <f t="shared" si="139"/>
        <v>0</v>
      </c>
      <c r="H255" s="76" t="str">
        <f t="shared" si="183"/>
        <v/>
      </c>
      <c r="I255" s="15" t="str">
        <f t="shared" si="184"/>
        <v/>
      </c>
      <c r="J255" s="26"/>
      <c r="K255" s="26"/>
      <c r="L255" s="7">
        <f t="shared" si="185"/>
        <v>0</v>
      </c>
      <c r="M255" s="24">
        <f t="shared" si="186"/>
        <v>0</v>
      </c>
      <c r="N255" s="12">
        <v>0</v>
      </c>
      <c r="O255" s="12">
        <v>0</v>
      </c>
      <c r="P255" s="12">
        <v>0</v>
      </c>
      <c r="Q255" s="16"/>
      <c r="R255" s="16"/>
    </row>
    <row r="256" spans="2:18" ht="40.200000000000003" customHeight="1" x14ac:dyDescent="0.4">
      <c r="B256" s="38"/>
      <c r="C256" s="3"/>
      <c r="D256" s="36"/>
      <c r="E256" s="40" t="s">
        <v>16</v>
      </c>
      <c r="F256" s="13">
        <f t="shared" si="139"/>
        <v>0</v>
      </c>
      <c r="H256" s="76" t="str">
        <f t="shared" si="183"/>
        <v/>
      </c>
      <c r="I256" s="15" t="str">
        <f t="shared" si="184"/>
        <v/>
      </c>
      <c r="J256" s="26"/>
      <c r="K256" s="26"/>
      <c r="L256" s="7">
        <f t="shared" si="185"/>
        <v>0</v>
      </c>
      <c r="M256" s="24">
        <f t="shared" si="186"/>
        <v>0</v>
      </c>
      <c r="N256" s="12">
        <v>0</v>
      </c>
      <c r="O256" s="12">
        <v>0</v>
      </c>
      <c r="P256" s="12">
        <v>0</v>
      </c>
      <c r="Q256" s="16"/>
      <c r="R256" s="16"/>
    </row>
    <row r="257" spans="2:18" ht="40.200000000000003" customHeight="1" x14ac:dyDescent="0.4">
      <c r="B257" s="38"/>
      <c r="C257" s="3"/>
      <c r="D257" s="36"/>
      <c r="E257" s="40" t="s">
        <v>16</v>
      </c>
      <c r="F257" s="13">
        <f t="shared" si="139"/>
        <v>0</v>
      </c>
      <c r="H257" s="76" t="str">
        <f t="shared" si="183"/>
        <v/>
      </c>
      <c r="I257" s="15" t="str">
        <f t="shared" si="184"/>
        <v/>
      </c>
      <c r="J257" s="26"/>
      <c r="K257" s="26"/>
      <c r="L257" s="7">
        <f t="shared" si="185"/>
        <v>0</v>
      </c>
      <c r="M257" s="24">
        <f t="shared" si="186"/>
        <v>0</v>
      </c>
      <c r="N257" s="12">
        <v>0</v>
      </c>
      <c r="O257" s="12">
        <v>0</v>
      </c>
      <c r="P257" s="12">
        <v>0</v>
      </c>
      <c r="Q257" s="16"/>
      <c r="R257" s="16"/>
    </row>
    <row r="258" spans="2:18" ht="40.200000000000003" customHeight="1" x14ac:dyDescent="0.4">
      <c r="B258" s="38"/>
      <c r="C258" s="3"/>
      <c r="D258" s="36"/>
      <c r="E258" s="40" t="s">
        <v>16</v>
      </c>
      <c r="F258" s="13">
        <f t="shared" si="139"/>
        <v>0</v>
      </c>
      <c r="H258" s="76" t="str">
        <f t="shared" ref="H258:H262" si="187">IF(G258="","",(G258))</f>
        <v/>
      </c>
      <c r="I258" s="15" t="str">
        <f t="shared" ref="I258:I262" si="188">IF(H258="","",(H258+I257-J258))</f>
        <v/>
      </c>
      <c r="J258" s="26"/>
      <c r="K258" s="26"/>
      <c r="L258" s="7">
        <f t="shared" ref="L258:L262" si="189">C258</f>
        <v>0</v>
      </c>
      <c r="M258" s="24">
        <f t="shared" ref="M258:M262" si="190">G258</f>
        <v>0</v>
      </c>
      <c r="N258" s="12">
        <v>0</v>
      </c>
      <c r="O258" s="12">
        <v>0</v>
      </c>
      <c r="P258" s="12">
        <v>0</v>
      </c>
      <c r="Q258" s="16"/>
      <c r="R258" s="16"/>
    </row>
    <row r="259" spans="2:18" ht="40.200000000000003" customHeight="1" x14ac:dyDescent="0.4">
      <c r="B259" s="38"/>
      <c r="C259" s="3"/>
      <c r="D259" s="36"/>
      <c r="E259" s="40" t="s">
        <v>16</v>
      </c>
      <c r="F259" s="13">
        <f t="shared" si="139"/>
        <v>0</v>
      </c>
      <c r="H259" s="76" t="str">
        <f t="shared" si="187"/>
        <v/>
      </c>
      <c r="I259" s="15" t="str">
        <f t="shared" si="188"/>
        <v/>
      </c>
      <c r="J259" s="26"/>
      <c r="K259" s="26"/>
      <c r="L259" s="7">
        <f t="shared" si="189"/>
        <v>0</v>
      </c>
      <c r="M259" s="24">
        <f t="shared" si="190"/>
        <v>0</v>
      </c>
      <c r="N259" s="12">
        <v>0</v>
      </c>
      <c r="O259" s="12">
        <v>0</v>
      </c>
      <c r="P259" s="12">
        <v>0</v>
      </c>
      <c r="Q259" s="16"/>
      <c r="R259" s="16"/>
    </row>
    <row r="260" spans="2:18" ht="40.200000000000003" customHeight="1" x14ac:dyDescent="0.4">
      <c r="B260" s="38"/>
      <c r="C260" s="3"/>
      <c r="D260" s="36"/>
      <c r="E260" s="40" t="s">
        <v>16</v>
      </c>
      <c r="F260" s="13">
        <f t="shared" si="139"/>
        <v>0</v>
      </c>
      <c r="H260" s="76" t="str">
        <f t="shared" si="187"/>
        <v/>
      </c>
      <c r="I260" s="15" t="str">
        <f t="shared" si="188"/>
        <v/>
      </c>
      <c r="J260" s="26"/>
      <c r="K260" s="26"/>
      <c r="L260" s="7">
        <f t="shared" si="189"/>
        <v>0</v>
      </c>
      <c r="M260" s="24">
        <f t="shared" si="190"/>
        <v>0</v>
      </c>
      <c r="N260" s="12">
        <v>0</v>
      </c>
      <c r="O260" s="12">
        <v>0</v>
      </c>
      <c r="P260" s="12">
        <v>0</v>
      </c>
      <c r="Q260" s="16"/>
      <c r="R260" s="16"/>
    </row>
    <row r="261" spans="2:18" ht="40.200000000000003" customHeight="1" x14ac:dyDescent="0.4">
      <c r="B261" s="38"/>
      <c r="C261" s="3"/>
      <c r="D261" s="36"/>
      <c r="E261" s="40" t="s">
        <v>16</v>
      </c>
      <c r="F261" s="13">
        <f t="shared" si="139"/>
        <v>0</v>
      </c>
      <c r="H261" s="76" t="str">
        <f t="shared" si="187"/>
        <v/>
      </c>
      <c r="I261" s="15" t="str">
        <f t="shared" si="188"/>
        <v/>
      </c>
      <c r="J261" s="26"/>
      <c r="K261" s="26"/>
      <c r="L261" s="7">
        <f t="shared" si="189"/>
        <v>0</v>
      </c>
      <c r="M261" s="24">
        <f t="shared" si="190"/>
        <v>0</v>
      </c>
      <c r="N261" s="12">
        <v>0</v>
      </c>
      <c r="O261" s="12">
        <v>0</v>
      </c>
      <c r="P261" s="12">
        <v>0</v>
      </c>
      <c r="Q261" s="16"/>
      <c r="R261" s="16"/>
    </row>
    <row r="262" spans="2:18" ht="40.200000000000003" customHeight="1" x14ac:dyDescent="0.4">
      <c r="B262" s="38"/>
      <c r="C262" s="3"/>
      <c r="D262" s="36"/>
      <c r="E262" s="40" t="s">
        <v>16</v>
      </c>
      <c r="F262" s="13">
        <f t="shared" si="139"/>
        <v>0</v>
      </c>
      <c r="H262" s="76" t="str">
        <f t="shared" si="187"/>
        <v/>
      </c>
      <c r="I262" s="15" t="str">
        <f t="shared" si="188"/>
        <v/>
      </c>
      <c r="J262" s="26"/>
      <c r="K262" s="26"/>
      <c r="L262" s="7">
        <f t="shared" si="189"/>
        <v>0</v>
      </c>
      <c r="M262" s="24">
        <f t="shared" si="190"/>
        <v>0</v>
      </c>
      <c r="N262" s="12">
        <v>0</v>
      </c>
      <c r="O262" s="12">
        <v>0</v>
      </c>
      <c r="P262" s="12">
        <v>0</v>
      </c>
      <c r="Q262" s="16"/>
      <c r="R262" s="16"/>
    </row>
    <row r="263" spans="2:18" ht="40.200000000000003" customHeight="1" x14ac:dyDescent="0.4">
      <c r="B263" s="38"/>
      <c r="C263" s="3"/>
      <c r="D263" s="36"/>
      <c r="E263" s="40" t="s">
        <v>16</v>
      </c>
      <c r="F263" s="13">
        <f t="shared" si="139"/>
        <v>0</v>
      </c>
      <c r="H263" s="76" t="str">
        <f t="shared" ref="H263:H272" si="191">IF(G263="","",(G263))</f>
        <v/>
      </c>
      <c r="I263" s="15" t="str">
        <f t="shared" ref="I263" si="192">IF(H263="","",(H263+I262-J263))</f>
        <v/>
      </c>
      <c r="J263" s="26"/>
      <c r="K263" s="26"/>
      <c r="L263" s="7">
        <f t="shared" ref="L263:L272" si="193">C263</f>
        <v>0</v>
      </c>
      <c r="M263" s="24">
        <f t="shared" ref="M263:M272" si="194">G263</f>
        <v>0</v>
      </c>
      <c r="N263" s="12">
        <v>0</v>
      </c>
      <c r="O263" s="12">
        <v>0</v>
      </c>
      <c r="P263" s="12">
        <v>0</v>
      </c>
      <c r="Q263" s="16"/>
      <c r="R263" s="16"/>
    </row>
    <row r="264" spans="2:18" ht="40.200000000000003" customHeight="1" x14ac:dyDescent="0.4">
      <c r="B264" s="38"/>
      <c r="C264" s="3"/>
      <c r="D264" s="36"/>
      <c r="E264" s="40" t="s">
        <v>16</v>
      </c>
      <c r="F264" s="13">
        <f t="shared" ref="F264:F327" si="195">G264</f>
        <v>0</v>
      </c>
      <c r="H264" s="76" t="str">
        <f t="shared" si="191"/>
        <v/>
      </c>
      <c r="I264" s="15" t="str">
        <f>IF(H264="","",(H264+I263-J264))</f>
        <v/>
      </c>
      <c r="J264" s="26"/>
      <c r="K264" s="26"/>
      <c r="L264" s="7">
        <f t="shared" si="193"/>
        <v>0</v>
      </c>
      <c r="M264" s="24">
        <f t="shared" si="194"/>
        <v>0</v>
      </c>
      <c r="N264" s="12">
        <v>0</v>
      </c>
      <c r="O264" s="12">
        <v>0</v>
      </c>
      <c r="P264" s="12">
        <v>0</v>
      </c>
      <c r="Q264" s="16"/>
      <c r="R264" s="16"/>
    </row>
    <row r="265" spans="2:18" ht="40.200000000000003" customHeight="1" x14ac:dyDescent="0.4">
      <c r="B265" s="38"/>
      <c r="C265" s="3"/>
      <c r="D265" s="36"/>
      <c r="E265" s="40" t="s">
        <v>16</v>
      </c>
      <c r="F265" s="13">
        <f t="shared" si="195"/>
        <v>0</v>
      </c>
      <c r="H265" s="76" t="str">
        <f t="shared" si="191"/>
        <v/>
      </c>
      <c r="I265" s="15" t="str">
        <f>IF(H265="","",(H265+I264-J265))</f>
        <v/>
      </c>
      <c r="J265" s="26"/>
      <c r="K265" s="26"/>
      <c r="L265" s="7">
        <f t="shared" si="193"/>
        <v>0</v>
      </c>
      <c r="M265" s="24">
        <f t="shared" si="194"/>
        <v>0</v>
      </c>
      <c r="N265" s="12">
        <v>0</v>
      </c>
      <c r="O265" s="12">
        <v>0</v>
      </c>
      <c r="P265" s="12">
        <v>0</v>
      </c>
      <c r="Q265" s="16"/>
      <c r="R265" s="16"/>
    </row>
    <row r="266" spans="2:18" ht="40.200000000000003" customHeight="1" x14ac:dyDescent="0.4">
      <c r="B266" s="38"/>
      <c r="C266" s="3"/>
      <c r="D266" s="36"/>
      <c r="E266" s="40" t="s">
        <v>16</v>
      </c>
      <c r="F266" s="13">
        <f t="shared" si="195"/>
        <v>0</v>
      </c>
      <c r="H266" s="76" t="str">
        <f t="shared" si="191"/>
        <v/>
      </c>
      <c r="I266" s="15" t="str">
        <f>IF(H266="","",(H266+I265-J266))</f>
        <v/>
      </c>
      <c r="J266" s="26"/>
      <c r="K266" s="26"/>
      <c r="L266" s="7">
        <f t="shared" si="193"/>
        <v>0</v>
      </c>
      <c r="M266" s="24">
        <f t="shared" si="194"/>
        <v>0</v>
      </c>
      <c r="N266" s="12">
        <v>0</v>
      </c>
      <c r="O266" s="12">
        <v>0</v>
      </c>
      <c r="P266" s="12">
        <v>0</v>
      </c>
      <c r="Q266" s="16"/>
      <c r="R266" s="16"/>
    </row>
    <row r="267" spans="2:18" ht="40.200000000000003" customHeight="1" x14ac:dyDescent="0.4">
      <c r="B267" s="38"/>
      <c r="C267" s="3"/>
      <c r="D267" s="36"/>
      <c r="E267" s="40" t="s">
        <v>16</v>
      </c>
      <c r="F267" s="13">
        <f t="shared" si="195"/>
        <v>0</v>
      </c>
      <c r="H267" s="76" t="str">
        <f t="shared" si="191"/>
        <v/>
      </c>
      <c r="I267" s="15" t="str">
        <f t="shared" ref="I267" si="196">IF(H267="","",(H267+I266-J267))</f>
        <v/>
      </c>
      <c r="J267" s="26"/>
      <c r="K267" s="26"/>
      <c r="L267" s="7">
        <f t="shared" si="193"/>
        <v>0</v>
      </c>
      <c r="M267" s="24">
        <f t="shared" si="194"/>
        <v>0</v>
      </c>
      <c r="N267" s="12">
        <v>0</v>
      </c>
      <c r="O267" s="12">
        <v>0</v>
      </c>
      <c r="P267" s="12">
        <v>0</v>
      </c>
      <c r="Q267" s="16"/>
      <c r="R267" s="16"/>
    </row>
    <row r="268" spans="2:18" ht="40.200000000000003" customHeight="1" x14ac:dyDescent="0.4">
      <c r="B268" s="38"/>
      <c r="C268" s="3"/>
      <c r="D268" s="36"/>
      <c r="E268" s="40" t="s">
        <v>16</v>
      </c>
      <c r="F268" s="13">
        <f t="shared" si="195"/>
        <v>0</v>
      </c>
      <c r="H268" s="76" t="str">
        <f t="shared" si="191"/>
        <v/>
      </c>
      <c r="I268" s="15" t="str">
        <f>IF(H268="","",(H268+I267-J268))</f>
        <v/>
      </c>
      <c r="J268" s="26"/>
      <c r="K268" s="26"/>
      <c r="L268" s="7">
        <f t="shared" si="193"/>
        <v>0</v>
      </c>
      <c r="M268" s="24">
        <f t="shared" si="194"/>
        <v>0</v>
      </c>
      <c r="N268" s="12">
        <v>0</v>
      </c>
      <c r="O268" s="12">
        <v>0</v>
      </c>
      <c r="P268" s="12">
        <v>0</v>
      </c>
      <c r="Q268" s="16"/>
      <c r="R268" s="16"/>
    </row>
    <row r="269" spans="2:18" ht="40.200000000000003" customHeight="1" x14ac:dyDescent="0.4">
      <c r="B269" s="38"/>
      <c r="C269" s="3"/>
      <c r="D269" s="36"/>
      <c r="E269" s="40" t="s">
        <v>16</v>
      </c>
      <c r="F269" s="13">
        <f t="shared" si="195"/>
        <v>0</v>
      </c>
      <c r="H269" s="76" t="str">
        <f t="shared" si="191"/>
        <v/>
      </c>
      <c r="I269" s="15" t="str">
        <f>IF(H269="","",(H269+I268-J269))</f>
        <v/>
      </c>
      <c r="J269" s="26"/>
      <c r="K269" s="26"/>
      <c r="L269" s="7">
        <f t="shared" si="193"/>
        <v>0</v>
      </c>
      <c r="M269" s="24">
        <f t="shared" si="194"/>
        <v>0</v>
      </c>
      <c r="N269" s="12">
        <v>0</v>
      </c>
      <c r="O269" s="12">
        <v>0</v>
      </c>
      <c r="P269" s="12">
        <v>0</v>
      </c>
      <c r="Q269" s="16"/>
      <c r="R269" s="16"/>
    </row>
    <row r="270" spans="2:18" ht="40.200000000000003" customHeight="1" x14ac:dyDescent="0.4">
      <c r="B270" s="38"/>
      <c r="C270" s="3"/>
      <c r="D270" s="36"/>
      <c r="E270" s="40" t="s">
        <v>16</v>
      </c>
      <c r="F270" s="13">
        <f t="shared" si="195"/>
        <v>0</v>
      </c>
      <c r="H270" s="76" t="str">
        <f t="shared" si="191"/>
        <v/>
      </c>
      <c r="I270" s="15" t="str">
        <f>IF(H270="","",(H270+I269-J270))</f>
        <v/>
      </c>
      <c r="J270" s="26"/>
      <c r="K270" s="26"/>
      <c r="L270" s="7">
        <f t="shared" si="193"/>
        <v>0</v>
      </c>
      <c r="M270" s="24">
        <f t="shared" si="194"/>
        <v>0</v>
      </c>
      <c r="N270" s="12">
        <v>0</v>
      </c>
      <c r="O270" s="12">
        <v>0</v>
      </c>
      <c r="P270" s="12">
        <v>0</v>
      </c>
      <c r="Q270" s="16"/>
      <c r="R270" s="16"/>
    </row>
    <row r="271" spans="2:18" ht="40.200000000000003" customHeight="1" x14ac:dyDescent="0.4">
      <c r="B271" s="38"/>
      <c r="C271" s="3"/>
      <c r="D271" s="36"/>
      <c r="E271" s="40" t="s">
        <v>16</v>
      </c>
      <c r="F271" s="13">
        <f t="shared" si="195"/>
        <v>0</v>
      </c>
      <c r="H271" s="76" t="str">
        <f t="shared" si="191"/>
        <v/>
      </c>
      <c r="I271" s="15" t="str">
        <f t="shared" ref="I271:I290" si="197">IF(H271="","",(H271+I270-J271))</f>
        <v/>
      </c>
      <c r="J271" s="26"/>
      <c r="K271" s="26"/>
      <c r="L271" s="7">
        <f t="shared" si="193"/>
        <v>0</v>
      </c>
      <c r="M271" s="24">
        <f t="shared" si="194"/>
        <v>0</v>
      </c>
      <c r="N271" s="12">
        <v>0</v>
      </c>
      <c r="O271" s="12">
        <v>0</v>
      </c>
      <c r="P271" s="12">
        <v>0</v>
      </c>
      <c r="Q271" s="16"/>
      <c r="R271" s="16"/>
    </row>
    <row r="272" spans="2:18" ht="40.200000000000003" customHeight="1" x14ac:dyDescent="0.4">
      <c r="B272" s="38"/>
      <c r="C272" s="3"/>
      <c r="D272" s="36"/>
      <c r="E272" s="40" t="s">
        <v>16</v>
      </c>
      <c r="F272" s="13">
        <f t="shared" si="195"/>
        <v>0</v>
      </c>
      <c r="H272" s="76" t="str">
        <f t="shared" si="191"/>
        <v/>
      </c>
      <c r="I272" s="15" t="str">
        <f t="shared" si="197"/>
        <v/>
      </c>
      <c r="J272" s="26"/>
      <c r="K272" s="26"/>
      <c r="L272" s="7">
        <f t="shared" si="193"/>
        <v>0</v>
      </c>
      <c r="M272" s="24">
        <f t="shared" si="194"/>
        <v>0</v>
      </c>
      <c r="N272" s="12">
        <v>0</v>
      </c>
      <c r="O272" s="12">
        <v>0</v>
      </c>
      <c r="P272" s="12">
        <v>0</v>
      </c>
      <c r="Q272" s="16"/>
      <c r="R272" s="16"/>
    </row>
    <row r="273" spans="2:18" ht="40.200000000000003" customHeight="1" x14ac:dyDescent="0.4">
      <c r="B273" s="38"/>
      <c r="C273" s="3"/>
      <c r="D273" s="36"/>
      <c r="E273" s="41" t="s">
        <v>35</v>
      </c>
      <c r="F273" s="13">
        <f t="shared" si="195"/>
        <v>0</v>
      </c>
      <c r="G273" s="84"/>
      <c r="H273" s="84" t="str">
        <f t="shared" ref="H273:H281" si="198">IF(G273="","",(G273))</f>
        <v/>
      </c>
      <c r="I273" s="15" t="str">
        <f t="shared" si="197"/>
        <v/>
      </c>
      <c r="J273" s="26"/>
      <c r="K273" s="26"/>
      <c r="L273" s="7">
        <f t="shared" ref="L273:L281" si="199">C273</f>
        <v>0</v>
      </c>
      <c r="M273" s="24">
        <f t="shared" ref="M273:M281" si="200">G273</f>
        <v>0</v>
      </c>
      <c r="N273" s="12">
        <v>0</v>
      </c>
      <c r="O273" s="12">
        <v>0</v>
      </c>
      <c r="P273" s="12">
        <v>0</v>
      </c>
      <c r="Q273" s="16"/>
      <c r="R273" s="16"/>
    </row>
    <row r="274" spans="2:18" ht="40.200000000000003" customHeight="1" x14ac:dyDescent="0.4">
      <c r="B274" s="38"/>
      <c r="C274" s="3"/>
      <c r="D274" s="36"/>
      <c r="E274" s="41" t="s">
        <v>35</v>
      </c>
      <c r="F274" s="13">
        <f t="shared" si="195"/>
        <v>0</v>
      </c>
      <c r="G274" s="84"/>
      <c r="H274" s="84" t="str">
        <f t="shared" si="198"/>
        <v/>
      </c>
      <c r="I274" s="15" t="str">
        <f t="shared" si="197"/>
        <v/>
      </c>
      <c r="J274" s="26"/>
      <c r="K274" s="26"/>
      <c r="L274" s="7">
        <f t="shared" si="199"/>
        <v>0</v>
      </c>
      <c r="M274" s="24">
        <f t="shared" si="200"/>
        <v>0</v>
      </c>
      <c r="N274" s="12">
        <v>0</v>
      </c>
      <c r="O274" s="12">
        <v>0</v>
      </c>
      <c r="P274" s="12">
        <v>0</v>
      </c>
      <c r="Q274" s="16"/>
      <c r="R274" s="16"/>
    </row>
    <row r="275" spans="2:18" ht="40.200000000000003" customHeight="1" x14ac:dyDescent="0.4">
      <c r="B275" s="38"/>
      <c r="C275" s="3"/>
      <c r="D275" s="36"/>
      <c r="E275" s="41" t="s">
        <v>35</v>
      </c>
      <c r="F275" s="13">
        <f t="shared" si="195"/>
        <v>0</v>
      </c>
      <c r="G275" s="84"/>
      <c r="H275" s="84" t="str">
        <f t="shared" si="198"/>
        <v/>
      </c>
      <c r="I275" s="15" t="str">
        <f t="shared" si="197"/>
        <v/>
      </c>
      <c r="J275" s="26"/>
      <c r="K275" s="26"/>
      <c r="L275" s="7">
        <f t="shared" si="199"/>
        <v>0</v>
      </c>
      <c r="M275" s="24">
        <f t="shared" si="200"/>
        <v>0</v>
      </c>
      <c r="N275" s="12">
        <v>0</v>
      </c>
      <c r="O275" s="12">
        <v>0</v>
      </c>
      <c r="P275" s="12">
        <v>0</v>
      </c>
      <c r="Q275" s="16"/>
      <c r="R275" s="16"/>
    </row>
    <row r="276" spans="2:18" ht="40.200000000000003" customHeight="1" x14ac:dyDescent="0.4">
      <c r="B276" s="38"/>
      <c r="C276" s="3"/>
      <c r="D276" s="36"/>
      <c r="E276" s="41" t="s">
        <v>35</v>
      </c>
      <c r="F276" s="13">
        <f t="shared" si="195"/>
        <v>0</v>
      </c>
      <c r="G276" s="84"/>
      <c r="H276" s="84" t="str">
        <f t="shared" si="198"/>
        <v/>
      </c>
      <c r="I276" s="15" t="str">
        <f t="shared" si="197"/>
        <v/>
      </c>
      <c r="J276" s="26"/>
      <c r="K276" s="26"/>
      <c r="L276" s="7">
        <f t="shared" si="199"/>
        <v>0</v>
      </c>
      <c r="M276" s="24">
        <f t="shared" si="200"/>
        <v>0</v>
      </c>
      <c r="N276" s="12">
        <v>0</v>
      </c>
      <c r="O276" s="12">
        <v>0</v>
      </c>
      <c r="P276" s="12">
        <v>0</v>
      </c>
      <c r="Q276" s="16"/>
      <c r="R276" s="16"/>
    </row>
    <row r="277" spans="2:18" ht="40.200000000000003" customHeight="1" x14ac:dyDescent="0.4">
      <c r="B277" s="38"/>
      <c r="C277" s="3"/>
      <c r="D277" s="36"/>
      <c r="E277" s="41" t="s">
        <v>35</v>
      </c>
      <c r="F277" s="13">
        <f t="shared" si="195"/>
        <v>0</v>
      </c>
      <c r="G277" s="84"/>
      <c r="H277" s="84" t="str">
        <f t="shared" si="198"/>
        <v/>
      </c>
      <c r="I277" s="15" t="str">
        <f t="shared" si="197"/>
        <v/>
      </c>
      <c r="J277" s="26"/>
      <c r="K277" s="26"/>
      <c r="L277" s="7">
        <f t="shared" si="199"/>
        <v>0</v>
      </c>
      <c r="M277" s="24">
        <f t="shared" si="200"/>
        <v>0</v>
      </c>
      <c r="N277" s="12">
        <v>0</v>
      </c>
      <c r="O277" s="12">
        <v>0</v>
      </c>
      <c r="P277" s="12">
        <v>0</v>
      </c>
      <c r="Q277" s="16"/>
      <c r="R277" s="16"/>
    </row>
    <row r="278" spans="2:18" ht="40.200000000000003" customHeight="1" x14ac:dyDescent="0.4">
      <c r="B278" s="38"/>
      <c r="C278" s="3"/>
      <c r="D278" s="36"/>
      <c r="E278" s="41" t="s">
        <v>35</v>
      </c>
      <c r="F278" s="13">
        <f t="shared" si="195"/>
        <v>0</v>
      </c>
      <c r="G278" s="84"/>
      <c r="H278" s="84" t="str">
        <f t="shared" si="198"/>
        <v/>
      </c>
      <c r="I278" s="15" t="str">
        <f t="shared" si="197"/>
        <v/>
      </c>
      <c r="J278" s="26"/>
      <c r="K278" s="26"/>
      <c r="L278" s="7">
        <f t="shared" si="199"/>
        <v>0</v>
      </c>
      <c r="M278" s="24">
        <f t="shared" si="200"/>
        <v>0</v>
      </c>
      <c r="N278" s="12">
        <v>0</v>
      </c>
      <c r="O278" s="12">
        <v>0</v>
      </c>
      <c r="P278" s="12">
        <v>0</v>
      </c>
      <c r="Q278" s="16"/>
      <c r="R278" s="16"/>
    </row>
    <row r="279" spans="2:18" ht="40.200000000000003" customHeight="1" x14ac:dyDescent="0.4">
      <c r="B279" s="38"/>
      <c r="C279" s="3"/>
      <c r="D279" s="36"/>
      <c r="E279" s="41" t="s">
        <v>35</v>
      </c>
      <c r="F279" s="13">
        <f t="shared" si="195"/>
        <v>0</v>
      </c>
      <c r="G279" s="84"/>
      <c r="H279" s="84" t="str">
        <f t="shared" si="198"/>
        <v/>
      </c>
      <c r="I279" s="15" t="str">
        <f t="shared" si="197"/>
        <v/>
      </c>
      <c r="J279" s="26"/>
      <c r="K279" s="26"/>
      <c r="L279" s="7">
        <f t="shared" si="199"/>
        <v>0</v>
      </c>
      <c r="M279" s="24">
        <f t="shared" si="200"/>
        <v>0</v>
      </c>
      <c r="N279" s="12">
        <v>0</v>
      </c>
      <c r="O279" s="12">
        <v>0</v>
      </c>
      <c r="P279" s="12">
        <v>0</v>
      </c>
      <c r="Q279" s="16"/>
      <c r="R279" s="16"/>
    </row>
    <row r="280" spans="2:18" ht="40.200000000000003" customHeight="1" x14ac:dyDescent="0.4">
      <c r="B280" s="38"/>
      <c r="C280" s="3"/>
      <c r="D280" s="36"/>
      <c r="E280" s="41" t="s">
        <v>35</v>
      </c>
      <c r="F280" s="13">
        <f t="shared" si="195"/>
        <v>0</v>
      </c>
      <c r="G280" s="84"/>
      <c r="H280" s="84" t="str">
        <f t="shared" si="198"/>
        <v/>
      </c>
      <c r="I280" s="15" t="str">
        <f t="shared" si="197"/>
        <v/>
      </c>
      <c r="J280" s="26"/>
      <c r="K280" s="26"/>
      <c r="L280" s="7">
        <f t="shared" si="199"/>
        <v>0</v>
      </c>
      <c r="M280" s="24">
        <f t="shared" si="200"/>
        <v>0</v>
      </c>
      <c r="N280" s="12">
        <v>0</v>
      </c>
      <c r="O280" s="12">
        <v>0</v>
      </c>
      <c r="P280" s="12">
        <v>0</v>
      </c>
      <c r="Q280" s="16"/>
      <c r="R280" s="16"/>
    </row>
    <row r="281" spans="2:18" ht="40.200000000000003" customHeight="1" x14ac:dyDescent="0.4">
      <c r="B281" s="38"/>
      <c r="C281" s="3"/>
      <c r="D281" s="36"/>
      <c r="E281" s="41" t="s">
        <v>35</v>
      </c>
      <c r="F281" s="13">
        <f t="shared" si="195"/>
        <v>0</v>
      </c>
      <c r="G281" s="84"/>
      <c r="H281" s="84" t="str">
        <f t="shared" si="198"/>
        <v/>
      </c>
      <c r="I281" s="15" t="str">
        <f t="shared" si="197"/>
        <v/>
      </c>
      <c r="J281" s="26"/>
      <c r="K281" s="26"/>
      <c r="L281" s="7">
        <f t="shared" si="199"/>
        <v>0</v>
      </c>
      <c r="M281" s="24">
        <f t="shared" si="200"/>
        <v>0</v>
      </c>
      <c r="N281" s="12">
        <v>0</v>
      </c>
      <c r="O281" s="12">
        <v>0</v>
      </c>
      <c r="P281" s="12">
        <v>0</v>
      </c>
      <c r="Q281" s="16"/>
      <c r="R281" s="16"/>
    </row>
    <row r="282" spans="2:18" ht="40.200000000000003" customHeight="1" x14ac:dyDescent="0.4">
      <c r="B282" s="38"/>
      <c r="C282" s="3"/>
      <c r="D282" s="36"/>
      <c r="E282" s="41" t="s">
        <v>35</v>
      </c>
      <c r="F282" s="13">
        <f t="shared" si="195"/>
        <v>0</v>
      </c>
      <c r="G282" s="84"/>
      <c r="H282" s="84" t="str">
        <f t="shared" ref="H282:H290" si="201">IF(G282="","",(G282))</f>
        <v/>
      </c>
      <c r="I282" s="15" t="str">
        <f t="shared" si="197"/>
        <v/>
      </c>
      <c r="J282" s="26"/>
      <c r="K282" s="26"/>
      <c r="L282" s="7">
        <f t="shared" ref="L282:L287" si="202">C282</f>
        <v>0</v>
      </c>
      <c r="M282" s="24">
        <f t="shared" ref="M282:M287" si="203">G282</f>
        <v>0</v>
      </c>
      <c r="N282" s="12">
        <v>0</v>
      </c>
      <c r="O282" s="12">
        <v>0</v>
      </c>
      <c r="P282" s="12">
        <v>0</v>
      </c>
      <c r="Q282" s="16"/>
      <c r="R282" s="16"/>
    </row>
    <row r="283" spans="2:18" ht="40.200000000000003" customHeight="1" x14ac:dyDescent="0.4">
      <c r="B283" s="38"/>
      <c r="C283" s="3"/>
      <c r="D283" s="36"/>
      <c r="E283" s="41" t="s">
        <v>35</v>
      </c>
      <c r="F283" s="13">
        <f t="shared" si="195"/>
        <v>0</v>
      </c>
      <c r="G283" s="84"/>
      <c r="H283" s="84" t="str">
        <f t="shared" si="201"/>
        <v/>
      </c>
      <c r="I283" s="15" t="str">
        <f t="shared" si="197"/>
        <v/>
      </c>
      <c r="J283" s="26"/>
      <c r="K283" s="26"/>
      <c r="L283" s="7">
        <f t="shared" si="202"/>
        <v>0</v>
      </c>
      <c r="M283" s="24">
        <f t="shared" si="203"/>
        <v>0</v>
      </c>
      <c r="N283" s="12">
        <v>0</v>
      </c>
      <c r="O283" s="12">
        <v>0</v>
      </c>
      <c r="P283" s="12">
        <v>0</v>
      </c>
      <c r="Q283" s="16"/>
      <c r="R283" s="16"/>
    </row>
    <row r="284" spans="2:18" ht="40.200000000000003" customHeight="1" x14ac:dyDescent="0.4">
      <c r="B284" s="38"/>
      <c r="C284" s="3"/>
      <c r="D284" s="36"/>
      <c r="E284" s="41" t="s">
        <v>35</v>
      </c>
      <c r="F284" s="13">
        <f t="shared" si="195"/>
        <v>0</v>
      </c>
      <c r="G284" s="84"/>
      <c r="H284" s="84" t="str">
        <f t="shared" si="201"/>
        <v/>
      </c>
      <c r="I284" s="15" t="str">
        <f t="shared" si="197"/>
        <v/>
      </c>
      <c r="J284" s="26"/>
      <c r="K284" s="26"/>
      <c r="L284" s="7">
        <f t="shared" si="202"/>
        <v>0</v>
      </c>
      <c r="M284" s="24">
        <f t="shared" si="203"/>
        <v>0</v>
      </c>
      <c r="N284" s="12">
        <v>0</v>
      </c>
      <c r="O284" s="12">
        <v>0</v>
      </c>
      <c r="P284" s="12">
        <v>0</v>
      </c>
      <c r="Q284" s="16"/>
      <c r="R284" s="16"/>
    </row>
    <row r="285" spans="2:18" ht="40.200000000000003" customHeight="1" x14ac:dyDescent="0.4">
      <c r="B285" s="38"/>
      <c r="C285" s="3"/>
      <c r="D285" s="36"/>
      <c r="E285" s="41" t="s">
        <v>35</v>
      </c>
      <c r="F285" s="13">
        <f t="shared" si="195"/>
        <v>0</v>
      </c>
      <c r="G285" s="84"/>
      <c r="H285" s="84" t="str">
        <f t="shared" si="201"/>
        <v/>
      </c>
      <c r="I285" s="15" t="str">
        <f t="shared" si="197"/>
        <v/>
      </c>
      <c r="J285" s="26"/>
      <c r="K285" s="26"/>
      <c r="L285" s="7">
        <f t="shared" si="202"/>
        <v>0</v>
      </c>
      <c r="M285" s="24">
        <f t="shared" si="203"/>
        <v>0</v>
      </c>
      <c r="N285" s="12">
        <v>0</v>
      </c>
      <c r="O285" s="12">
        <v>0</v>
      </c>
      <c r="P285" s="12">
        <v>0</v>
      </c>
      <c r="Q285" s="16"/>
      <c r="R285" s="16"/>
    </row>
    <row r="286" spans="2:18" ht="40.200000000000003" customHeight="1" x14ac:dyDescent="0.4">
      <c r="B286" s="38"/>
      <c r="C286" s="3"/>
      <c r="D286" s="36"/>
      <c r="E286" s="41" t="s">
        <v>35</v>
      </c>
      <c r="F286" s="13">
        <f t="shared" si="195"/>
        <v>0</v>
      </c>
      <c r="G286" s="84"/>
      <c r="H286" s="84" t="str">
        <f t="shared" si="201"/>
        <v/>
      </c>
      <c r="I286" s="15" t="str">
        <f t="shared" si="197"/>
        <v/>
      </c>
      <c r="J286" s="26"/>
      <c r="K286" s="26"/>
      <c r="L286" s="7">
        <f t="shared" si="202"/>
        <v>0</v>
      </c>
      <c r="M286" s="24">
        <f t="shared" si="203"/>
        <v>0</v>
      </c>
      <c r="N286" s="12">
        <v>0</v>
      </c>
      <c r="O286" s="12">
        <v>0</v>
      </c>
      <c r="P286" s="12">
        <v>0</v>
      </c>
      <c r="Q286" s="16"/>
      <c r="R286" s="16"/>
    </row>
    <row r="287" spans="2:18" ht="40.200000000000003" customHeight="1" x14ac:dyDescent="0.4">
      <c r="B287" s="38"/>
      <c r="C287" s="3"/>
      <c r="D287" s="36"/>
      <c r="E287" s="41" t="s">
        <v>35</v>
      </c>
      <c r="F287" s="13">
        <f t="shared" si="195"/>
        <v>0</v>
      </c>
      <c r="G287" s="84"/>
      <c r="H287" s="84" t="str">
        <f t="shared" si="201"/>
        <v/>
      </c>
      <c r="I287" s="15" t="str">
        <f t="shared" si="197"/>
        <v/>
      </c>
      <c r="J287" s="26"/>
      <c r="K287" s="26"/>
      <c r="L287" s="7">
        <f t="shared" si="202"/>
        <v>0</v>
      </c>
      <c r="M287" s="24">
        <f t="shared" si="203"/>
        <v>0</v>
      </c>
      <c r="N287" s="12">
        <v>0</v>
      </c>
      <c r="O287" s="12">
        <v>0</v>
      </c>
      <c r="P287" s="12">
        <v>0</v>
      </c>
      <c r="Q287" s="16"/>
      <c r="R287" s="16"/>
    </row>
    <row r="288" spans="2:18" ht="40.200000000000003" customHeight="1" x14ac:dyDescent="0.4">
      <c r="B288" s="38"/>
      <c r="C288" s="3"/>
      <c r="D288" s="36"/>
      <c r="E288" s="41" t="s">
        <v>35</v>
      </c>
      <c r="F288" s="13">
        <f t="shared" si="195"/>
        <v>0</v>
      </c>
      <c r="G288" s="84"/>
      <c r="H288" s="84" t="str">
        <f t="shared" si="201"/>
        <v/>
      </c>
      <c r="I288" s="15" t="str">
        <f t="shared" si="197"/>
        <v/>
      </c>
      <c r="J288" s="26"/>
      <c r="K288" s="26"/>
      <c r="L288" s="7">
        <f t="shared" ref="L288:L290" si="204">C288</f>
        <v>0</v>
      </c>
      <c r="M288" s="24">
        <f t="shared" ref="M288:M290" si="205">G288</f>
        <v>0</v>
      </c>
      <c r="N288" s="12">
        <v>0</v>
      </c>
      <c r="O288" s="12">
        <v>0</v>
      </c>
      <c r="P288" s="12">
        <v>0</v>
      </c>
      <c r="Q288" s="16"/>
      <c r="R288" s="16"/>
    </row>
    <row r="289" spans="2:18" ht="40.200000000000003" customHeight="1" x14ac:dyDescent="0.4">
      <c r="B289" s="38"/>
      <c r="C289" s="3"/>
      <c r="D289" s="36"/>
      <c r="E289" s="41" t="s">
        <v>35</v>
      </c>
      <c r="F289" s="13">
        <f t="shared" si="195"/>
        <v>0</v>
      </c>
      <c r="G289" s="84"/>
      <c r="H289" s="84" t="str">
        <f t="shared" si="201"/>
        <v/>
      </c>
      <c r="I289" s="15" t="str">
        <f t="shared" si="197"/>
        <v/>
      </c>
      <c r="J289" s="26"/>
      <c r="K289" s="26"/>
      <c r="L289" s="7">
        <f t="shared" si="204"/>
        <v>0</v>
      </c>
      <c r="M289" s="24">
        <f t="shared" si="205"/>
        <v>0</v>
      </c>
      <c r="N289" s="12">
        <v>0</v>
      </c>
      <c r="O289" s="12">
        <v>0</v>
      </c>
      <c r="P289" s="12">
        <v>0</v>
      </c>
      <c r="Q289" s="16"/>
      <c r="R289" s="16"/>
    </row>
    <row r="290" spans="2:18" ht="40.200000000000003" customHeight="1" x14ac:dyDescent="0.4">
      <c r="B290" s="38"/>
      <c r="C290" s="3"/>
      <c r="D290" s="36"/>
      <c r="E290" s="41" t="s">
        <v>35</v>
      </c>
      <c r="F290" s="13">
        <f t="shared" si="195"/>
        <v>0</v>
      </c>
      <c r="G290" s="84"/>
      <c r="H290" s="84" t="str">
        <f t="shared" si="201"/>
        <v/>
      </c>
      <c r="I290" s="15" t="str">
        <f t="shared" si="197"/>
        <v/>
      </c>
      <c r="J290" s="26"/>
      <c r="K290" s="26"/>
      <c r="L290" s="7">
        <f t="shared" si="204"/>
        <v>0</v>
      </c>
      <c r="M290" s="24">
        <f t="shared" si="205"/>
        <v>0</v>
      </c>
      <c r="N290" s="12">
        <v>0</v>
      </c>
      <c r="O290" s="12">
        <v>0</v>
      </c>
      <c r="P290" s="12">
        <v>0</v>
      </c>
      <c r="Q290" s="16"/>
      <c r="R290" s="16"/>
    </row>
    <row r="291" spans="2:18" ht="40.200000000000003" customHeight="1" x14ac:dyDescent="0.4">
      <c r="B291" s="38"/>
      <c r="C291" s="3"/>
      <c r="D291" s="36"/>
      <c r="E291" s="41" t="s">
        <v>35</v>
      </c>
      <c r="F291" s="13">
        <f t="shared" si="195"/>
        <v>0</v>
      </c>
      <c r="G291" s="84"/>
      <c r="H291" s="84" t="str">
        <f t="shared" ref="H291:H296" si="206">IF(G291="","",(G291))</f>
        <v/>
      </c>
      <c r="I291" s="15" t="str">
        <f t="shared" ref="I291:I296" si="207">IF(H291="","",(H291+I290-J291))</f>
        <v/>
      </c>
      <c r="J291" s="26"/>
      <c r="K291" s="26"/>
      <c r="L291" s="7">
        <f t="shared" ref="L291:L296" si="208">C291</f>
        <v>0</v>
      </c>
      <c r="M291" s="24">
        <f t="shared" ref="M291:M296" si="209">G291</f>
        <v>0</v>
      </c>
      <c r="N291" s="12">
        <v>0</v>
      </c>
      <c r="O291" s="12">
        <v>0</v>
      </c>
      <c r="P291" s="12">
        <v>0</v>
      </c>
      <c r="Q291" s="16"/>
      <c r="R291" s="16"/>
    </row>
    <row r="292" spans="2:18" ht="40.200000000000003" customHeight="1" x14ac:dyDescent="0.4">
      <c r="B292" s="38"/>
      <c r="C292" s="3"/>
      <c r="D292" s="36"/>
      <c r="E292" s="41" t="s">
        <v>35</v>
      </c>
      <c r="F292" s="13">
        <f t="shared" si="195"/>
        <v>0</v>
      </c>
      <c r="G292" s="84"/>
      <c r="H292" s="84" t="str">
        <f t="shared" si="206"/>
        <v/>
      </c>
      <c r="I292" s="15" t="str">
        <f t="shared" si="207"/>
        <v/>
      </c>
      <c r="J292" s="26"/>
      <c r="K292" s="26"/>
      <c r="L292" s="7">
        <f t="shared" si="208"/>
        <v>0</v>
      </c>
      <c r="M292" s="24">
        <f t="shared" si="209"/>
        <v>0</v>
      </c>
      <c r="N292" s="12">
        <v>0</v>
      </c>
      <c r="O292" s="12">
        <v>0</v>
      </c>
      <c r="P292" s="12">
        <v>0</v>
      </c>
      <c r="Q292" s="16"/>
      <c r="R292" s="16"/>
    </row>
    <row r="293" spans="2:18" ht="40.200000000000003" customHeight="1" x14ac:dyDescent="0.4">
      <c r="B293" s="38"/>
      <c r="C293" s="3"/>
      <c r="D293" s="36"/>
      <c r="E293" s="41" t="s">
        <v>35</v>
      </c>
      <c r="F293" s="13">
        <f t="shared" si="195"/>
        <v>0</v>
      </c>
      <c r="G293" s="84"/>
      <c r="H293" s="84" t="str">
        <f t="shared" si="206"/>
        <v/>
      </c>
      <c r="I293" s="15" t="str">
        <f t="shared" si="207"/>
        <v/>
      </c>
      <c r="J293" s="26"/>
      <c r="K293" s="26"/>
      <c r="L293" s="7">
        <f t="shared" si="208"/>
        <v>0</v>
      </c>
      <c r="M293" s="24">
        <f t="shared" si="209"/>
        <v>0</v>
      </c>
      <c r="N293" s="12">
        <v>0</v>
      </c>
      <c r="O293" s="12">
        <v>0</v>
      </c>
      <c r="P293" s="12">
        <v>0</v>
      </c>
      <c r="Q293" s="16"/>
      <c r="R293" s="16"/>
    </row>
    <row r="294" spans="2:18" ht="40.200000000000003" customHeight="1" x14ac:dyDescent="0.4">
      <c r="B294" s="38"/>
      <c r="C294" s="3"/>
      <c r="D294" s="36"/>
      <c r="E294" s="41" t="s">
        <v>35</v>
      </c>
      <c r="F294" s="13">
        <f t="shared" si="195"/>
        <v>0</v>
      </c>
      <c r="G294" s="84"/>
      <c r="H294" s="84" t="str">
        <f t="shared" si="206"/>
        <v/>
      </c>
      <c r="I294" s="15" t="str">
        <f t="shared" si="207"/>
        <v/>
      </c>
      <c r="J294" s="26"/>
      <c r="K294" s="26"/>
      <c r="L294" s="7">
        <f t="shared" si="208"/>
        <v>0</v>
      </c>
      <c r="M294" s="24">
        <f t="shared" si="209"/>
        <v>0</v>
      </c>
      <c r="N294" s="12">
        <v>0</v>
      </c>
      <c r="O294" s="12">
        <v>0</v>
      </c>
      <c r="P294" s="12">
        <v>0</v>
      </c>
      <c r="Q294" s="16"/>
      <c r="R294" s="16"/>
    </row>
    <row r="295" spans="2:18" ht="40.200000000000003" customHeight="1" x14ac:dyDescent="0.4">
      <c r="B295" s="38"/>
      <c r="C295" s="3"/>
      <c r="D295" s="36"/>
      <c r="E295" s="41" t="s">
        <v>35</v>
      </c>
      <c r="F295" s="13">
        <f t="shared" si="195"/>
        <v>0</v>
      </c>
      <c r="G295" s="84"/>
      <c r="H295" s="84" t="str">
        <f t="shared" si="206"/>
        <v/>
      </c>
      <c r="I295" s="15" t="str">
        <f t="shared" si="207"/>
        <v/>
      </c>
      <c r="J295" s="26"/>
      <c r="K295" s="26"/>
      <c r="L295" s="7">
        <f t="shared" si="208"/>
        <v>0</v>
      </c>
      <c r="M295" s="24">
        <f t="shared" si="209"/>
        <v>0</v>
      </c>
      <c r="N295" s="12">
        <v>0</v>
      </c>
      <c r="O295" s="12">
        <v>0</v>
      </c>
      <c r="P295" s="12">
        <v>0</v>
      </c>
      <c r="Q295" s="16"/>
      <c r="R295" s="16"/>
    </row>
    <row r="296" spans="2:18" ht="40.200000000000003" customHeight="1" x14ac:dyDescent="0.4">
      <c r="B296" s="38"/>
      <c r="C296" s="3"/>
      <c r="D296" s="36"/>
      <c r="E296" s="41" t="s">
        <v>35</v>
      </c>
      <c r="F296" s="13">
        <f t="shared" si="195"/>
        <v>0</v>
      </c>
      <c r="G296" s="84"/>
      <c r="H296" s="84" t="str">
        <f t="shared" si="206"/>
        <v/>
      </c>
      <c r="I296" s="15" t="str">
        <f t="shared" si="207"/>
        <v/>
      </c>
      <c r="J296" s="26"/>
      <c r="K296" s="26"/>
      <c r="L296" s="7">
        <f t="shared" si="208"/>
        <v>0</v>
      </c>
      <c r="M296" s="24">
        <f t="shared" si="209"/>
        <v>0</v>
      </c>
      <c r="N296" s="12">
        <v>0</v>
      </c>
      <c r="O296" s="12">
        <v>0</v>
      </c>
      <c r="P296" s="12">
        <v>0</v>
      </c>
      <c r="Q296" s="16"/>
      <c r="R296" s="16"/>
    </row>
    <row r="297" spans="2:18" ht="40.200000000000003" customHeight="1" x14ac:dyDescent="0.4">
      <c r="B297" s="38"/>
      <c r="C297" s="3"/>
      <c r="D297" s="36"/>
      <c r="E297" s="41" t="s">
        <v>35</v>
      </c>
      <c r="F297" s="13">
        <f t="shared" si="195"/>
        <v>0</v>
      </c>
      <c r="G297" s="85"/>
      <c r="H297" s="84" t="str">
        <f t="shared" ref="H297:H302" si="210">IF(G297="","",(G297))</f>
        <v/>
      </c>
      <c r="I297" s="15" t="str">
        <f t="shared" ref="I297:I302" si="211">IF(H297="","",(H297+I296-J297))</f>
        <v/>
      </c>
      <c r="J297" s="26"/>
      <c r="K297" s="26"/>
      <c r="L297" s="7">
        <f t="shared" ref="L297:L302" si="212">C297</f>
        <v>0</v>
      </c>
      <c r="M297" s="24">
        <f t="shared" ref="M297:M302" si="213">G297</f>
        <v>0</v>
      </c>
      <c r="N297" s="12">
        <v>0</v>
      </c>
      <c r="O297" s="12">
        <v>0</v>
      </c>
      <c r="P297" s="12">
        <v>0</v>
      </c>
      <c r="Q297" s="16"/>
      <c r="R297" s="16"/>
    </row>
    <row r="298" spans="2:18" ht="40.200000000000003" customHeight="1" x14ac:dyDescent="0.4">
      <c r="B298" s="38"/>
      <c r="C298" s="3"/>
      <c r="D298" s="36"/>
      <c r="E298" s="41" t="s">
        <v>35</v>
      </c>
      <c r="F298" s="13">
        <f t="shared" si="195"/>
        <v>0</v>
      </c>
      <c r="G298" s="84"/>
      <c r="H298" s="84" t="str">
        <f t="shared" si="210"/>
        <v/>
      </c>
      <c r="I298" s="15" t="str">
        <f t="shared" si="211"/>
        <v/>
      </c>
      <c r="J298" s="26"/>
      <c r="K298" s="26"/>
      <c r="L298" s="7">
        <f t="shared" si="212"/>
        <v>0</v>
      </c>
      <c r="M298" s="24">
        <f t="shared" si="213"/>
        <v>0</v>
      </c>
      <c r="N298" s="12">
        <v>0</v>
      </c>
      <c r="O298" s="12">
        <v>0</v>
      </c>
      <c r="P298" s="12">
        <v>0</v>
      </c>
      <c r="Q298" s="16"/>
      <c r="R298" s="16"/>
    </row>
    <row r="299" spans="2:18" ht="40.200000000000003" customHeight="1" x14ac:dyDescent="0.4">
      <c r="B299" s="38"/>
      <c r="C299" s="3"/>
      <c r="D299" s="36"/>
      <c r="E299" s="41" t="s">
        <v>35</v>
      </c>
      <c r="F299" s="13">
        <f t="shared" si="195"/>
        <v>0</v>
      </c>
      <c r="G299" s="85"/>
      <c r="H299" s="84" t="str">
        <f t="shared" si="210"/>
        <v/>
      </c>
      <c r="I299" s="15" t="str">
        <f t="shared" si="211"/>
        <v/>
      </c>
      <c r="J299" s="26"/>
      <c r="K299" s="26"/>
      <c r="L299" s="7">
        <f t="shared" si="212"/>
        <v>0</v>
      </c>
      <c r="M299" s="24">
        <f t="shared" si="213"/>
        <v>0</v>
      </c>
      <c r="N299" s="12">
        <v>0</v>
      </c>
      <c r="O299" s="12">
        <v>0</v>
      </c>
      <c r="P299" s="12">
        <v>0</v>
      </c>
      <c r="Q299" s="16"/>
      <c r="R299" s="16"/>
    </row>
    <row r="300" spans="2:18" ht="40.200000000000003" customHeight="1" x14ac:dyDescent="0.4">
      <c r="B300" s="38"/>
      <c r="C300" s="3"/>
      <c r="D300" s="36"/>
      <c r="E300" s="41" t="s">
        <v>35</v>
      </c>
      <c r="F300" s="13">
        <f t="shared" si="195"/>
        <v>0</v>
      </c>
      <c r="G300" s="84"/>
      <c r="H300" s="84" t="str">
        <f t="shared" si="210"/>
        <v/>
      </c>
      <c r="I300" s="15" t="str">
        <f t="shared" si="211"/>
        <v/>
      </c>
      <c r="J300" s="26"/>
      <c r="K300" s="26"/>
      <c r="L300" s="7">
        <f t="shared" si="212"/>
        <v>0</v>
      </c>
      <c r="M300" s="24">
        <f t="shared" si="213"/>
        <v>0</v>
      </c>
      <c r="N300" s="12">
        <v>0</v>
      </c>
      <c r="O300" s="12">
        <v>0</v>
      </c>
      <c r="P300" s="12">
        <v>0</v>
      </c>
      <c r="Q300" s="16"/>
      <c r="R300" s="16"/>
    </row>
    <row r="301" spans="2:18" ht="40.200000000000003" customHeight="1" x14ac:dyDescent="0.4">
      <c r="B301" s="38"/>
      <c r="C301" s="3"/>
      <c r="D301" s="36"/>
      <c r="E301" s="41" t="s">
        <v>35</v>
      </c>
      <c r="F301" s="13">
        <f t="shared" si="195"/>
        <v>0</v>
      </c>
      <c r="G301" s="84"/>
      <c r="H301" s="84" t="str">
        <f t="shared" si="210"/>
        <v/>
      </c>
      <c r="I301" s="15" t="str">
        <f t="shared" si="211"/>
        <v/>
      </c>
      <c r="J301" s="26"/>
      <c r="K301" s="26"/>
      <c r="L301" s="7">
        <f t="shared" si="212"/>
        <v>0</v>
      </c>
      <c r="M301" s="24">
        <f t="shared" si="213"/>
        <v>0</v>
      </c>
      <c r="N301" s="12">
        <v>0</v>
      </c>
      <c r="O301" s="12">
        <v>0</v>
      </c>
      <c r="P301" s="12">
        <v>0</v>
      </c>
      <c r="Q301" s="16"/>
      <c r="R301" s="16"/>
    </row>
    <row r="302" spans="2:18" ht="40.200000000000003" customHeight="1" x14ac:dyDescent="0.4">
      <c r="B302" s="38"/>
      <c r="C302" s="3"/>
      <c r="D302" s="36"/>
      <c r="E302" s="41" t="s">
        <v>35</v>
      </c>
      <c r="F302" s="13">
        <f t="shared" si="195"/>
        <v>0</v>
      </c>
      <c r="G302" s="85"/>
      <c r="H302" s="84" t="str">
        <f t="shared" si="210"/>
        <v/>
      </c>
      <c r="I302" s="15" t="str">
        <f t="shared" si="211"/>
        <v/>
      </c>
      <c r="J302" s="26"/>
      <c r="K302" s="26"/>
      <c r="L302" s="7">
        <f t="shared" si="212"/>
        <v>0</v>
      </c>
      <c r="M302" s="24">
        <f t="shared" si="213"/>
        <v>0</v>
      </c>
      <c r="N302" s="12">
        <v>0</v>
      </c>
      <c r="O302" s="12">
        <v>0</v>
      </c>
      <c r="P302" s="12">
        <v>0</v>
      </c>
      <c r="Q302" s="16"/>
      <c r="R302" s="16"/>
    </row>
    <row r="303" spans="2:18" ht="40.200000000000003" customHeight="1" x14ac:dyDescent="0.4">
      <c r="B303" s="38"/>
      <c r="C303" s="3"/>
      <c r="D303" s="36"/>
      <c r="E303" s="41" t="s">
        <v>35</v>
      </c>
      <c r="F303" s="13">
        <f t="shared" si="195"/>
        <v>0</v>
      </c>
      <c r="G303" s="85"/>
      <c r="H303" s="84" t="str">
        <f t="shared" ref="H303:H311" si="214">IF(G303="","",(G303))</f>
        <v/>
      </c>
      <c r="I303" s="15" t="str">
        <f t="shared" ref="I303:I305" si="215">IF(H303="","",(H303+I302-J303))</f>
        <v/>
      </c>
      <c r="J303" s="26"/>
      <c r="K303" s="26"/>
      <c r="L303" s="7">
        <f t="shared" ref="L303:L305" si="216">C303</f>
        <v>0</v>
      </c>
      <c r="M303" s="24">
        <f t="shared" ref="M303:M305" si="217">G303</f>
        <v>0</v>
      </c>
      <c r="N303" s="12">
        <v>0</v>
      </c>
      <c r="O303" s="12">
        <v>0</v>
      </c>
      <c r="P303" s="12">
        <v>0</v>
      </c>
      <c r="Q303" s="16"/>
      <c r="R303" s="16"/>
    </row>
    <row r="304" spans="2:18" ht="40.200000000000003" customHeight="1" x14ac:dyDescent="0.4">
      <c r="B304" s="38"/>
      <c r="C304" s="3"/>
      <c r="D304" s="36"/>
      <c r="E304" s="41" t="s">
        <v>35</v>
      </c>
      <c r="F304" s="13">
        <f t="shared" si="195"/>
        <v>0</v>
      </c>
      <c r="G304" s="85"/>
      <c r="H304" s="84" t="str">
        <f t="shared" si="214"/>
        <v/>
      </c>
      <c r="I304" s="15" t="str">
        <f t="shared" si="215"/>
        <v/>
      </c>
      <c r="J304" s="26"/>
      <c r="K304" s="26"/>
      <c r="L304" s="7">
        <f t="shared" si="216"/>
        <v>0</v>
      </c>
      <c r="M304" s="24">
        <f t="shared" si="217"/>
        <v>0</v>
      </c>
      <c r="N304" s="12">
        <v>0</v>
      </c>
      <c r="O304" s="12">
        <v>0</v>
      </c>
      <c r="P304" s="12">
        <v>0</v>
      </c>
      <c r="Q304" s="16"/>
      <c r="R304" s="16"/>
    </row>
    <row r="305" spans="2:18" ht="40.200000000000003" customHeight="1" x14ac:dyDescent="0.4">
      <c r="B305" s="38"/>
      <c r="C305" s="3"/>
      <c r="D305" s="36"/>
      <c r="E305" s="41" t="s">
        <v>35</v>
      </c>
      <c r="F305" s="13">
        <f t="shared" si="195"/>
        <v>0</v>
      </c>
      <c r="G305" s="85"/>
      <c r="H305" s="84" t="str">
        <f t="shared" si="214"/>
        <v/>
      </c>
      <c r="I305" s="15" t="str">
        <f t="shared" si="215"/>
        <v/>
      </c>
      <c r="J305" s="26"/>
      <c r="K305" s="26"/>
      <c r="L305" s="7">
        <f t="shared" si="216"/>
        <v>0</v>
      </c>
      <c r="M305" s="24">
        <f t="shared" si="217"/>
        <v>0</v>
      </c>
      <c r="N305" s="12">
        <v>0</v>
      </c>
      <c r="O305" s="12">
        <v>0</v>
      </c>
      <c r="P305" s="12">
        <v>0</v>
      </c>
      <c r="Q305" s="16"/>
      <c r="R305" s="16"/>
    </row>
    <row r="306" spans="2:18" ht="40.200000000000003" customHeight="1" x14ac:dyDescent="0.4">
      <c r="B306" s="38"/>
      <c r="C306" s="3"/>
      <c r="D306" s="36"/>
      <c r="E306" s="41" t="s">
        <v>35</v>
      </c>
      <c r="F306" s="13">
        <f t="shared" si="195"/>
        <v>0</v>
      </c>
      <c r="G306" s="85"/>
      <c r="H306" s="84" t="str">
        <f t="shared" si="214"/>
        <v/>
      </c>
      <c r="I306" s="15" t="str">
        <f t="shared" ref="I306:I311" si="218">IF(H306="","",(H306+I305-J306))</f>
        <v/>
      </c>
      <c r="J306" s="26"/>
      <c r="K306" s="26"/>
      <c r="L306" s="7">
        <f t="shared" ref="L306:L311" si="219">C306</f>
        <v>0</v>
      </c>
      <c r="M306" s="24">
        <f t="shared" ref="M306:M311" si="220">G306</f>
        <v>0</v>
      </c>
      <c r="N306" s="12">
        <v>0</v>
      </c>
      <c r="O306" s="12">
        <v>0</v>
      </c>
      <c r="P306" s="12">
        <v>0</v>
      </c>
      <c r="Q306" s="16"/>
      <c r="R306" s="16"/>
    </row>
    <row r="307" spans="2:18" ht="40.200000000000003" customHeight="1" x14ac:dyDescent="0.4">
      <c r="B307" s="38"/>
      <c r="C307" s="3"/>
      <c r="D307" s="36"/>
      <c r="E307" s="41" t="s">
        <v>35</v>
      </c>
      <c r="F307" s="13">
        <f t="shared" si="195"/>
        <v>0</v>
      </c>
      <c r="G307" s="85"/>
      <c r="H307" s="84" t="str">
        <f t="shared" si="214"/>
        <v/>
      </c>
      <c r="I307" s="15" t="str">
        <f t="shared" si="218"/>
        <v/>
      </c>
      <c r="J307" s="26"/>
      <c r="K307" s="26"/>
      <c r="L307" s="7">
        <f t="shared" si="219"/>
        <v>0</v>
      </c>
      <c r="M307" s="24">
        <f t="shared" si="220"/>
        <v>0</v>
      </c>
      <c r="N307" s="12">
        <v>0</v>
      </c>
      <c r="O307" s="12">
        <v>0</v>
      </c>
      <c r="P307" s="12">
        <v>0</v>
      </c>
      <c r="Q307" s="16"/>
      <c r="R307" s="16"/>
    </row>
    <row r="308" spans="2:18" ht="40.200000000000003" customHeight="1" x14ac:dyDescent="0.4">
      <c r="B308" s="38"/>
      <c r="C308" s="3"/>
      <c r="D308" s="36"/>
      <c r="E308" s="41" t="s">
        <v>35</v>
      </c>
      <c r="F308" s="13">
        <f t="shared" si="195"/>
        <v>0</v>
      </c>
      <c r="G308" s="85"/>
      <c r="H308" s="84" t="str">
        <f t="shared" si="214"/>
        <v/>
      </c>
      <c r="I308" s="15" t="str">
        <f t="shared" si="218"/>
        <v/>
      </c>
      <c r="J308" s="26"/>
      <c r="K308" s="26"/>
      <c r="L308" s="7">
        <f t="shared" si="219"/>
        <v>0</v>
      </c>
      <c r="M308" s="24">
        <f t="shared" si="220"/>
        <v>0</v>
      </c>
      <c r="N308" s="12">
        <v>0</v>
      </c>
      <c r="O308" s="12">
        <v>0</v>
      </c>
      <c r="P308" s="12">
        <v>0</v>
      </c>
      <c r="Q308" s="16"/>
      <c r="R308" s="16"/>
    </row>
    <row r="309" spans="2:18" ht="40.200000000000003" customHeight="1" x14ac:dyDescent="0.4">
      <c r="B309" s="38"/>
      <c r="C309" s="3"/>
      <c r="D309" s="36"/>
      <c r="E309" s="41" t="s">
        <v>35</v>
      </c>
      <c r="F309" s="13">
        <f t="shared" si="195"/>
        <v>0</v>
      </c>
      <c r="G309" s="85"/>
      <c r="H309" s="84" t="str">
        <f t="shared" si="214"/>
        <v/>
      </c>
      <c r="I309" s="15" t="str">
        <f t="shared" si="218"/>
        <v/>
      </c>
      <c r="J309" s="26"/>
      <c r="K309" s="26"/>
      <c r="L309" s="7">
        <f t="shared" si="219"/>
        <v>0</v>
      </c>
      <c r="M309" s="24">
        <f t="shared" si="220"/>
        <v>0</v>
      </c>
      <c r="N309" s="12">
        <v>0</v>
      </c>
      <c r="O309" s="12">
        <v>0</v>
      </c>
      <c r="P309" s="12">
        <v>0</v>
      </c>
      <c r="Q309" s="16"/>
      <c r="R309" s="16"/>
    </row>
    <row r="310" spans="2:18" ht="40.200000000000003" customHeight="1" x14ac:dyDescent="0.4">
      <c r="B310" s="38"/>
      <c r="C310" s="3"/>
      <c r="D310" s="36"/>
      <c r="E310" s="41" t="s">
        <v>35</v>
      </c>
      <c r="F310" s="13">
        <f t="shared" si="195"/>
        <v>0</v>
      </c>
      <c r="G310" s="85"/>
      <c r="H310" s="84" t="str">
        <f t="shared" si="214"/>
        <v/>
      </c>
      <c r="I310" s="15" t="str">
        <f t="shared" si="218"/>
        <v/>
      </c>
      <c r="J310" s="26"/>
      <c r="K310" s="26"/>
      <c r="L310" s="7">
        <f t="shared" si="219"/>
        <v>0</v>
      </c>
      <c r="M310" s="24">
        <f t="shared" si="220"/>
        <v>0</v>
      </c>
      <c r="N310" s="12">
        <v>0</v>
      </c>
      <c r="O310" s="12">
        <v>0</v>
      </c>
      <c r="P310" s="12">
        <v>0</v>
      </c>
      <c r="Q310" s="16"/>
      <c r="R310" s="16"/>
    </row>
    <row r="311" spans="2:18" ht="40.200000000000003" customHeight="1" x14ac:dyDescent="0.4">
      <c r="B311" s="38"/>
      <c r="C311" s="3"/>
      <c r="D311" s="36"/>
      <c r="E311" s="41" t="s">
        <v>35</v>
      </c>
      <c r="F311" s="13">
        <f t="shared" si="195"/>
        <v>0</v>
      </c>
      <c r="G311" s="85"/>
      <c r="H311" s="84" t="str">
        <f t="shared" si="214"/>
        <v/>
      </c>
      <c r="I311" s="15" t="str">
        <f t="shared" si="218"/>
        <v/>
      </c>
      <c r="J311" s="26"/>
      <c r="K311" s="26"/>
      <c r="L311" s="7">
        <f t="shared" si="219"/>
        <v>0</v>
      </c>
      <c r="M311" s="24">
        <f t="shared" si="220"/>
        <v>0</v>
      </c>
      <c r="N311" s="12">
        <v>0</v>
      </c>
      <c r="O311" s="12">
        <v>0</v>
      </c>
      <c r="P311" s="12">
        <v>0</v>
      </c>
      <c r="Q311" s="16"/>
      <c r="R311" s="16"/>
    </row>
    <row r="312" spans="2:18" ht="40.200000000000003" customHeight="1" x14ac:dyDescent="0.4">
      <c r="B312" s="38"/>
      <c r="C312" s="3"/>
      <c r="D312" s="36"/>
      <c r="E312" s="41" t="s">
        <v>35</v>
      </c>
      <c r="F312" s="13">
        <f t="shared" si="195"/>
        <v>0</v>
      </c>
      <c r="G312" s="85"/>
      <c r="H312" s="84" t="str">
        <f t="shared" ref="H312:H315" si="221">IF(G312="","",(G312))</f>
        <v/>
      </c>
      <c r="I312" s="15" t="str">
        <f t="shared" ref="I312:I315" si="222">IF(H312="","",(H312+I311-J312))</f>
        <v/>
      </c>
      <c r="J312" s="26"/>
      <c r="K312" s="26"/>
      <c r="L312" s="7">
        <f t="shared" ref="L312:L315" si="223">C312</f>
        <v>0</v>
      </c>
      <c r="M312" s="24">
        <f t="shared" ref="M312:M315" si="224">G312</f>
        <v>0</v>
      </c>
      <c r="N312" s="12">
        <v>0</v>
      </c>
      <c r="O312" s="12">
        <v>0</v>
      </c>
      <c r="P312" s="12">
        <v>0</v>
      </c>
      <c r="Q312" s="16"/>
      <c r="R312" s="16"/>
    </row>
    <row r="313" spans="2:18" ht="40.200000000000003" customHeight="1" x14ac:dyDescent="0.4">
      <c r="B313" s="38"/>
      <c r="C313" s="3"/>
      <c r="D313" s="36"/>
      <c r="E313" s="41" t="s">
        <v>35</v>
      </c>
      <c r="F313" s="13">
        <f t="shared" si="195"/>
        <v>0</v>
      </c>
      <c r="G313" s="85"/>
      <c r="H313" s="84" t="str">
        <f t="shared" si="221"/>
        <v/>
      </c>
      <c r="I313" s="15" t="str">
        <f t="shared" si="222"/>
        <v/>
      </c>
      <c r="J313" s="26"/>
      <c r="K313" s="26"/>
      <c r="L313" s="7">
        <f t="shared" si="223"/>
        <v>0</v>
      </c>
      <c r="M313" s="24">
        <f t="shared" si="224"/>
        <v>0</v>
      </c>
      <c r="N313" s="12">
        <v>0</v>
      </c>
      <c r="O313" s="12">
        <v>0</v>
      </c>
      <c r="P313" s="12">
        <v>0</v>
      </c>
      <c r="Q313" s="16"/>
      <c r="R313" s="16"/>
    </row>
    <row r="314" spans="2:18" ht="40.200000000000003" customHeight="1" x14ac:dyDescent="0.4">
      <c r="B314" s="38"/>
      <c r="C314" s="3"/>
      <c r="D314" s="36"/>
      <c r="E314" s="41" t="s">
        <v>35</v>
      </c>
      <c r="F314" s="13">
        <f t="shared" si="195"/>
        <v>0</v>
      </c>
      <c r="G314" s="85"/>
      <c r="H314" s="84" t="str">
        <f t="shared" si="221"/>
        <v/>
      </c>
      <c r="I314" s="15" t="str">
        <f t="shared" si="222"/>
        <v/>
      </c>
      <c r="J314" s="26"/>
      <c r="K314" s="26"/>
      <c r="L314" s="7">
        <f t="shared" si="223"/>
        <v>0</v>
      </c>
      <c r="M314" s="24">
        <f t="shared" si="224"/>
        <v>0</v>
      </c>
      <c r="N314" s="12">
        <v>0</v>
      </c>
      <c r="O314" s="12">
        <v>0</v>
      </c>
      <c r="P314" s="12">
        <v>0</v>
      </c>
      <c r="Q314" s="16"/>
      <c r="R314" s="16"/>
    </row>
    <row r="315" spans="2:18" ht="40.200000000000003" customHeight="1" x14ac:dyDescent="0.4">
      <c r="B315" s="38"/>
      <c r="C315" s="3"/>
      <c r="D315" s="36"/>
      <c r="E315" s="41" t="s">
        <v>35</v>
      </c>
      <c r="F315" s="13">
        <f t="shared" si="195"/>
        <v>0</v>
      </c>
      <c r="G315" s="85"/>
      <c r="H315" s="84" t="str">
        <f t="shared" si="221"/>
        <v/>
      </c>
      <c r="I315" s="15" t="str">
        <f t="shared" si="222"/>
        <v/>
      </c>
      <c r="J315" s="26"/>
      <c r="K315" s="26"/>
      <c r="L315" s="7">
        <f t="shared" si="223"/>
        <v>0</v>
      </c>
      <c r="M315" s="24">
        <f t="shared" si="224"/>
        <v>0</v>
      </c>
      <c r="N315" s="12">
        <v>0</v>
      </c>
      <c r="O315" s="12">
        <v>0</v>
      </c>
      <c r="P315" s="12">
        <v>0</v>
      </c>
      <c r="Q315" s="16"/>
      <c r="R315" s="16"/>
    </row>
    <row r="316" spans="2:18" ht="40.200000000000003" customHeight="1" x14ac:dyDescent="0.4">
      <c r="B316" s="38"/>
      <c r="C316" s="3"/>
      <c r="D316" s="36"/>
      <c r="E316" s="41" t="s">
        <v>35</v>
      </c>
      <c r="F316" s="13">
        <f t="shared" si="195"/>
        <v>0</v>
      </c>
      <c r="G316" s="85"/>
      <c r="H316" s="84" t="str">
        <f t="shared" ref="H316:H319" si="225">IF(G316="","",(G316))</f>
        <v/>
      </c>
      <c r="I316" s="15" t="str">
        <f t="shared" ref="I316:I319" si="226">IF(H316="","",(H316+I315-J316))</f>
        <v/>
      </c>
      <c r="J316" s="26"/>
      <c r="K316" s="26"/>
      <c r="L316" s="7">
        <f t="shared" ref="L316:L319" si="227">C316</f>
        <v>0</v>
      </c>
      <c r="M316" s="24">
        <f t="shared" ref="M316:M319" si="228">G316</f>
        <v>0</v>
      </c>
      <c r="N316" s="12">
        <v>0</v>
      </c>
      <c r="O316" s="12">
        <v>0</v>
      </c>
      <c r="P316" s="12">
        <v>0</v>
      </c>
      <c r="Q316" s="16"/>
      <c r="R316" s="16"/>
    </row>
    <row r="317" spans="2:18" ht="40.200000000000003" customHeight="1" x14ac:dyDescent="0.4">
      <c r="B317" s="38"/>
      <c r="C317" s="3"/>
      <c r="D317" s="36"/>
      <c r="E317" s="41" t="s">
        <v>35</v>
      </c>
      <c r="F317" s="13">
        <f t="shared" si="195"/>
        <v>0</v>
      </c>
      <c r="G317" s="85"/>
      <c r="H317" s="84" t="str">
        <f t="shared" si="225"/>
        <v/>
      </c>
      <c r="I317" s="15" t="str">
        <f t="shared" si="226"/>
        <v/>
      </c>
      <c r="J317" s="26"/>
      <c r="K317" s="26"/>
      <c r="L317" s="7">
        <f t="shared" si="227"/>
        <v>0</v>
      </c>
      <c r="M317" s="24">
        <f t="shared" si="228"/>
        <v>0</v>
      </c>
      <c r="N317" s="12">
        <v>0</v>
      </c>
      <c r="O317" s="12">
        <v>0</v>
      </c>
      <c r="P317" s="12">
        <v>0</v>
      </c>
      <c r="Q317" s="16"/>
      <c r="R317" s="16"/>
    </row>
    <row r="318" spans="2:18" ht="40.200000000000003" customHeight="1" x14ac:dyDescent="0.4">
      <c r="B318" s="38"/>
      <c r="C318" s="3"/>
      <c r="D318" s="36"/>
      <c r="E318" s="41" t="s">
        <v>35</v>
      </c>
      <c r="F318" s="13">
        <f t="shared" si="195"/>
        <v>0</v>
      </c>
      <c r="G318" s="85"/>
      <c r="H318" s="84" t="str">
        <f t="shared" si="225"/>
        <v/>
      </c>
      <c r="I318" s="15" t="str">
        <f t="shared" si="226"/>
        <v/>
      </c>
      <c r="J318" s="26"/>
      <c r="K318" s="26"/>
      <c r="L318" s="7">
        <f t="shared" si="227"/>
        <v>0</v>
      </c>
      <c r="M318" s="24">
        <f t="shared" si="228"/>
        <v>0</v>
      </c>
      <c r="N318" s="12">
        <v>0</v>
      </c>
      <c r="O318" s="12">
        <v>0</v>
      </c>
      <c r="P318" s="12">
        <v>0</v>
      </c>
      <c r="Q318" s="16"/>
      <c r="R318" s="16"/>
    </row>
    <row r="319" spans="2:18" ht="40.200000000000003" customHeight="1" x14ac:dyDescent="0.4">
      <c r="B319" s="38"/>
      <c r="C319" s="3"/>
      <c r="D319" s="36"/>
      <c r="E319" s="41" t="s">
        <v>35</v>
      </c>
      <c r="F319" s="13">
        <f t="shared" si="195"/>
        <v>0</v>
      </c>
      <c r="G319" s="85"/>
      <c r="H319" s="84" t="str">
        <f t="shared" si="225"/>
        <v/>
      </c>
      <c r="I319" s="15" t="str">
        <f t="shared" si="226"/>
        <v/>
      </c>
      <c r="J319" s="26"/>
      <c r="K319" s="26"/>
      <c r="L319" s="7">
        <f t="shared" si="227"/>
        <v>0</v>
      </c>
      <c r="M319" s="24">
        <f t="shared" si="228"/>
        <v>0</v>
      </c>
      <c r="N319" s="12">
        <v>0</v>
      </c>
      <c r="O319" s="12">
        <v>0</v>
      </c>
      <c r="P319" s="12">
        <v>0</v>
      </c>
      <c r="Q319" s="16"/>
      <c r="R319" s="16"/>
    </row>
    <row r="320" spans="2:18" ht="40.200000000000003" customHeight="1" x14ac:dyDescent="0.4">
      <c r="B320" s="38"/>
      <c r="C320" s="3"/>
      <c r="D320" s="36"/>
      <c r="E320" s="41" t="s">
        <v>35</v>
      </c>
      <c r="F320" s="13">
        <f t="shared" si="195"/>
        <v>0</v>
      </c>
      <c r="G320" s="85"/>
      <c r="H320" s="84" t="str">
        <f t="shared" ref="H320:H324" si="229">IF(G320="","",(G320))</f>
        <v/>
      </c>
      <c r="I320" s="15" t="str">
        <f t="shared" ref="I320:I324" si="230">IF(H320="","",(H320+I319-J320))</f>
        <v/>
      </c>
      <c r="J320" s="26"/>
      <c r="K320" s="26"/>
      <c r="L320" s="7">
        <f t="shared" ref="L320:L324" si="231">C320</f>
        <v>0</v>
      </c>
      <c r="M320" s="24">
        <f t="shared" ref="M320:M324" si="232">G320</f>
        <v>0</v>
      </c>
      <c r="N320" s="12">
        <v>0</v>
      </c>
      <c r="O320" s="12">
        <v>0</v>
      </c>
      <c r="P320" s="12">
        <v>0</v>
      </c>
      <c r="Q320" s="16"/>
      <c r="R320" s="16"/>
    </row>
    <row r="321" spans="2:18" ht="40.200000000000003" customHeight="1" x14ac:dyDescent="0.4">
      <c r="B321" s="38"/>
      <c r="C321" s="3"/>
      <c r="D321" s="36"/>
      <c r="E321" s="41" t="s">
        <v>35</v>
      </c>
      <c r="F321" s="13">
        <f t="shared" si="195"/>
        <v>0</v>
      </c>
      <c r="G321" s="85"/>
      <c r="H321" s="84" t="str">
        <f t="shared" si="229"/>
        <v/>
      </c>
      <c r="I321" s="15" t="str">
        <f t="shared" si="230"/>
        <v/>
      </c>
      <c r="J321" s="26"/>
      <c r="K321" s="26"/>
      <c r="L321" s="7">
        <f t="shared" si="231"/>
        <v>0</v>
      </c>
      <c r="M321" s="24">
        <f t="shared" si="232"/>
        <v>0</v>
      </c>
      <c r="N321" s="12">
        <v>0</v>
      </c>
      <c r="O321" s="12">
        <v>0</v>
      </c>
      <c r="P321" s="12">
        <v>0</v>
      </c>
      <c r="Q321" s="16"/>
      <c r="R321" s="16"/>
    </row>
    <row r="322" spans="2:18" ht="40.200000000000003" customHeight="1" x14ac:dyDescent="0.4">
      <c r="B322" s="38"/>
      <c r="C322" s="3"/>
      <c r="D322" s="36"/>
      <c r="E322" s="41" t="s">
        <v>35</v>
      </c>
      <c r="F322" s="13">
        <f t="shared" si="195"/>
        <v>0</v>
      </c>
      <c r="G322" s="85"/>
      <c r="H322" s="84" t="str">
        <f t="shared" si="229"/>
        <v/>
      </c>
      <c r="I322" s="15" t="str">
        <f t="shared" si="230"/>
        <v/>
      </c>
      <c r="J322" s="26"/>
      <c r="K322" s="26"/>
      <c r="L322" s="7">
        <f t="shared" si="231"/>
        <v>0</v>
      </c>
      <c r="M322" s="24">
        <f t="shared" si="232"/>
        <v>0</v>
      </c>
      <c r="N322" s="12">
        <v>0</v>
      </c>
      <c r="O322" s="12">
        <v>0</v>
      </c>
      <c r="P322" s="12">
        <v>0</v>
      </c>
      <c r="Q322" s="16"/>
      <c r="R322" s="16"/>
    </row>
    <row r="323" spans="2:18" ht="40.200000000000003" customHeight="1" x14ac:dyDescent="0.4">
      <c r="B323" s="38"/>
      <c r="C323" s="3"/>
      <c r="D323" s="36"/>
      <c r="E323" s="41" t="s">
        <v>35</v>
      </c>
      <c r="F323" s="13">
        <f t="shared" si="195"/>
        <v>0</v>
      </c>
      <c r="G323" s="85"/>
      <c r="H323" s="84" t="str">
        <f t="shared" si="229"/>
        <v/>
      </c>
      <c r="I323" s="15" t="str">
        <f t="shared" si="230"/>
        <v/>
      </c>
      <c r="J323" s="26"/>
      <c r="K323" s="26"/>
      <c r="L323" s="7">
        <f t="shared" si="231"/>
        <v>0</v>
      </c>
      <c r="M323" s="24">
        <f t="shared" si="232"/>
        <v>0</v>
      </c>
      <c r="N323" s="12">
        <v>0</v>
      </c>
      <c r="O323" s="12">
        <v>0</v>
      </c>
      <c r="P323" s="12">
        <v>0</v>
      </c>
      <c r="Q323" s="16"/>
      <c r="R323" s="16"/>
    </row>
    <row r="324" spans="2:18" ht="40.200000000000003" customHeight="1" x14ac:dyDescent="0.4">
      <c r="B324" s="38"/>
      <c r="C324" s="3"/>
      <c r="D324" s="36"/>
      <c r="E324" s="41" t="s">
        <v>35</v>
      </c>
      <c r="F324" s="13">
        <f t="shared" si="195"/>
        <v>0</v>
      </c>
      <c r="G324" s="85"/>
      <c r="H324" s="84" t="str">
        <f t="shared" si="229"/>
        <v/>
      </c>
      <c r="I324" s="15" t="str">
        <f t="shared" si="230"/>
        <v/>
      </c>
      <c r="J324" s="26"/>
      <c r="K324" s="26"/>
      <c r="L324" s="7">
        <f t="shared" si="231"/>
        <v>0</v>
      </c>
      <c r="M324" s="24">
        <f t="shared" si="232"/>
        <v>0</v>
      </c>
      <c r="N324" s="12">
        <v>0</v>
      </c>
      <c r="O324" s="12">
        <v>0</v>
      </c>
      <c r="P324" s="12">
        <v>0</v>
      </c>
      <c r="Q324" s="16"/>
      <c r="R324" s="16"/>
    </row>
    <row r="325" spans="2:18" ht="40.200000000000003" customHeight="1" x14ac:dyDescent="0.4">
      <c r="B325" s="38"/>
      <c r="C325" s="3"/>
      <c r="D325" s="36"/>
      <c r="E325" s="41" t="s">
        <v>35</v>
      </c>
      <c r="F325" s="13">
        <f t="shared" si="195"/>
        <v>0</v>
      </c>
      <c r="G325" s="85"/>
      <c r="H325" s="84" t="str">
        <f t="shared" ref="H325:H329" si="233">IF(G325="","",(G325))</f>
        <v/>
      </c>
      <c r="I325" s="15" t="str">
        <f t="shared" ref="I325:I329" si="234">IF(H325="","",(H325+I324-J325))</f>
        <v/>
      </c>
      <c r="J325" s="26"/>
      <c r="K325" s="26"/>
      <c r="L325" s="7">
        <f t="shared" ref="L325:L329" si="235">C325</f>
        <v>0</v>
      </c>
      <c r="M325" s="24">
        <f t="shared" ref="M325:M329" si="236">G325</f>
        <v>0</v>
      </c>
      <c r="N325" s="12">
        <v>0</v>
      </c>
      <c r="O325" s="12">
        <v>0</v>
      </c>
      <c r="P325" s="12">
        <v>0</v>
      </c>
      <c r="Q325" s="16"/>
      <c r="R325" s="16"/>
    </row>
    <row r="326" spans="2:18" ht="40.200000000000003" customHeight="1" x14ac:dyDescent="0.4">
      <c r="B326" s="38"/>
      <c r="C326" s="3"/>
      <c r="D326" s="36"/>
      <c r="E326" s="41" t="s">
        <v>35</v>
      </c>
      <c r="F326" s="13">
        <f t="shared" si="195"/>
        <v>0</v>
      </c>
      <c r="G326" s="85"/>
      <c r="H326" s="84" t="str">
        <f t="shared" si="233"/>
        <v/>
      </c>
      <c r="I326" s="15" t="str">
        <f t="shared" si="234"/>
        <v/>
      </c>
      <c r="J326" s="26"/>
      <c r="K326" s="26"/>
      <c r="L326" s="7">
        <f t="shared" si="235"/>
        <v>0</v>
      </c>
      <c r="M326" s="24">
        <f t="shared" si="236"/>
        <v>0</v>
      </c>
      <c r="N326" s="12">
        <v>0</v>
      </c>
      <c r="O326" s="12">
        <v>0</v>
      </c>
      <c r="P326" s="12">
        <v>0</v>
      </c>
      <c r="Q326" s="16"/>
      <c r="R326" s="16"/>
    </row>
    <row r="327" spans="2:18" ht="40.200000000000003" customHeight="1" x14ac:dyDescent="0.4">
      <c r="B327" s="38"/>
      <c r="C327" s="3"/>
      <c r="D327" s="36"/>
      <c r="E327" s="41" t="s">
        <v>35</v>
      </c>
      <c r="F327" s="13">
        <f t="shared" si="195"/>
        <v>0</v>
      </c>
      <c r="G327" s="85"/>
      <c r="H327" s="84" t="str">
        <f t="shared" si="233"/>
        <v/>
      </c>
      <c r="I327" s="15" t="str">
        <f t="shared" si="234"/>
        <v/>
      </c>
      <c r="J327" s="26"/>
      <c r="K327" s="26"/>
      <c r="L327" s="7">
        <f t="shared" si="235"/>
        <v>0</v>
      </c>
      <c r="M327" s="24">
        <f t="shared" si="236"/>
        <v>0</v>
      </c>
      <c r="N327" s="12">
        <v>0</v>
      </c>
      <c r="O327" s="12">
        <v>0</v>
      </c>
      <c r="P327" s="12">
        <v>0</v>
      </c>
      <c r="Q327" s="16"/>
      <c r="R327" s="16"/>
    </row>
    <row r="328" spans="2:18" ht="40.200000000000003" customHeight="1" x14ac:dyDescent="0.4">
      <c r="B328" s="38"/>
      <c r="C328" s="3"/>
      <c r="D328" s="36"/>
      <c r="E328" s="41" t="s">
        <v>35</v>
      </c>
      <c r="F328" s="13">
        <f t="shared" ref="F328:F374" si="237">G328</f>
        <v>0</v>
      </c>
      <c r="G328" s="85"/>
      <c r="H328" s="84" t="str">
        <f t="shared" si="233"/>
        <v/>
      </c>
      <c r="I328" s="15" t="str">
        <f t="shared" si="234"/>
        <v/>
      </c>
      <c r="J328" s="26"/>
      <c r="K328" s="26"/>
      <c r="L328" s="7">
        <f t="shared" si="235"/>
        <v>0</v>
      </c>
      <c r="M328" s="24">
        <f t="shared" si="236"/>
        <v>0</v>
      </c>
      <c r="N328" s="12">
        <v>0</v>
      </c>
      <c r="O328" s="12">
        <v>0</v>
      </c>
      <c r="P328" s="12">
        <v>0</v>
      </c>
      <c r="Q328" s="16"/>
      <c r="R328" s="16"/>
    </row>
    <row r="329" spans="2:18" ht="40.200000000000003" customHeight="1" x14ac:dyDescent="0.4">
      <c r="B329" s="38"/>
      <c r="C329" s="3"/>
      <c r="D329" s="36"/>
      <c r="E329" s="41" t="s">
        <v>35</v>
      </c>
      <c r="F329" s="13">
        <f t="shared" si="237"/>
        <v>0</v>
      </c>
      <c r="G329" s="85"/>
      <c r="H329" s="84" t="str">
        <f t="shared" si="233"/>
        <v/>
      </c>
      <c r="I329" s="15" t="str">
        <f t="shared" si="234"/>
        <v/>
      </c>
      <c r="J329" s="26"/>
      <c r="K329" s="26"/>
      <c r="L329" s="7">
        <f t="shared" si="235"/>
        <v>0</v>
      </c>
      <c r="M329" s="24">
        <f t="shared" si="236"/>
        <v>0</v>
      </c>
      <c r="N329" s="12">
        <v>0</v>
      </c>
      <c r="O329" s="12">
        <v>0</v>
      </c>
      <c r="P329" s="12">
        <v>0</v>
      </c>
      <c r="Q329" s="16"/>
      <c r="R329" s="16"/>
    </row>
    <row r="330" spans="2:18" ht="40.200000000000003" customHeight="1" x14ac:dyDescent="0.4">
      <c r="B330" s="38"/>
      <c r="C330" s="3"/>
      <c r="D330" s="36"/>
      <c r="E330" s="41" t="s">
        <v>35</v>
      </c>
      <c r="F330" s="13">
        <f t="shared" si="237"/>
        <v>0</v>
      </c>
      <c r="G330" s="85"/>
      <c r="H330" s="84" t="str">
        <f t="shared" ref="H330:H334" si="238">IF(G330="","",(G330))</f>
        <v/>
      </c>
      <c r="I330" s="15" t="str">
        <f t="shared" ref="I330:I334" si="239">IF(H330="","",(H330+I329-J330))</f>
        <v/>
      </c>
      <c r="J330" s="26"/>
      <c r="K330" s="26"/>
      <c r="L330" s="7">
        <f t="shared" ref="L330:L334" si="240">C330</f>
        <v>0</v>
      </c>
      <c r="M330" s="24">
        <f t="shared" ref="M330:M334" si="241">G330</f>
        <v>0</v>
      </c>
      <c r="N330" s="12">
        <v>0</v>
      </c>
      <c r="O330" s="12">
        <v>0</v>
      </c>
      <c r="P330" s="12">
        <v>0</v>
      </c>
      <c r="Q330" s="16"/>
      <c r="R330" s="16"/>
    </row>
    <row r="331" spans="2:18" ht="40.200000000000003" customHeight="1" x14ac:dyDescent="0.4">
      <c r="B331" s="38"/>
      <c r="C331" s="3"/>
      <c r="D331" s="36"/>
      <c r="E331" s="41" t="s">
        <v>35</v>
      </c>
      <c r="F331" s="13">
        <f t="shared" si="237"/>
        <v>0</v>
      </c>
      <c r="G331" s="85"/>
      <c r="H331" s="84" t="str">
        <f t="shared" si="238"/>
        <v/>
      </c>
      <c r="I331" s="15" t="str">
        <f t="shared" si="239"/>
        <v/>
      </c>
      <c r="J331" s="26"/>
      <c r="K331" s="26"/>
      <c r="L331" s="7">
        <f t="shared" si="240"/>
        <v>0</v>
      </c>
      <c r="M331" s="24">
        <f t="shared" si="241"/>
        <v>0</v>
      </c>
      <c r="N331" s="12">
        <v>0</v>
      </c>
      <c r="O331" s="12">
        <v>0</v>
      </c>
      <c r="P331" s="12">
        <v>0</v>
      </c>
      <c r="Q331" s="16"/>
      <c r="R331" s="16"/>
    </row>
    <row r="332" spans="2:18" ht="40.200000000000003" customHeight="1" x14ac:dyDescent="0.4">
      <c r="B332" s="38"/>
      <c r="C332" s="3"/>
      <c r="D332" s="36"/>
      <c r="E332" s="41" t="s">
        <v>35</v>
      </c>
      <c r="F332" s="13">
        <f t="shared" si="237"/>
        <v>0</v>
      </c>
      <c r="G332" s="85"/>
      <c r="H332" s="84" t="str">
        <f t="shared" si="238"/>
        <v/>
      </c>
      <c r="I332" s="15" t="str">
        <f t="shared" si="239"/>
        <v/>
      </c>
      <c r="J332" s="26"/>
      <c r="K332" s="26"/>
      <c r="L332" s="7">
        <f t="shared" si="240"/>
        <v>0</v>
      </c>
      <c r="M332" s="24">
        <f t="shared" si="241"/>
        <v>0</v>
      </c>
      <c r="N332" s="12">
        <v>0</v>
      </c>
      <c r="O332" s="12">
        <v>0</v>
      </c>
      <c r="P332" s="12">
        <v>0</v>
      </c>
      <c r="Q332" s="16"/>
      <c r="R332" s="16"/>
    </row>
    <row r="333" spans="2:18" ht="40.200000000000003" customHeight="1" x14ac:dyDescent="0.4">
      <c r="B333" s="38"/>
      <c r="C333" s="3"/>
      <c r="D333" s="36"/>
      <c r="E333" s="41" t="s">
        <v>35</v>
      </c>
      <c r="F333" s="13">
        <f t="shared" si="237"/>
        <v>0</v>
      </c>
      <c r="G333" s="85"/>
      <c r="H333" s="84" t="str">
        <f t="shared" si="238"/>
        <v/>
      </c>
      <c r="I333" s="15" t="str">
        <f t="shared" si="239"/>
        <v/>
      </c>
      <c r="J333" s="26"/>
      <c r="K333" s="26"/>
      <c r="L333" s="7">
        <f t="shared" si="240"/>
        <v>0</v>
      </c>
      <c r="M333" s="24">
        <f t="shared" si="241"/>
        <v>0</v>
      </c>
      <c r="N333" s="12">
        <v>0</v>
      </c>
      <c r="O333" s="12">
        <v>0</v>
      </c>
      <c r="P333" s="12">
        <v>0</v>
      </c>
      <c r="Q333" s="16"/>
      <c r="R333" s="16"/>
    </row>
    <row r="334" spans="2:18" ht="40.200000000000003" customHeight="1" x14ac:dyDescent="0.4">
      <c r="B334" s="38"/>
      <c r="C334" s="3"/>
      <c r="D334" s="36"/>
      <c r="E334" s="41" t="s">
        <v>35</v>
      </c>
      <c r="F334" s="13">
        <f t="shared" si="237"/>
        <v>0</v>
      </c>
      <c r="G334" s="85"/>
      <c r="H334" s="84" t="str">
        <f t="shared" si="238"/>
        <v/>
      </c>
      <c r="I334" s="15" t="str">
        <f t="shared" si="239"/>
        <v/>
      </c>
      <c r="J334" s="26"/>
      <c r="K334" s="26"/>
      <c r="L334" s="7">
        <f t="shared" si="240"/>
        <v>0</v>
      </c>
      <c r="M334" s="24">
        <f t="shared" si="241"/>
        <v>0</v>
      </c>
      <c r="N334" s="12">
        <v>0</v>
      </c>
      <c r="O334" s="12">
        <v>0</v>
      </c>
      <c r="P334" s="12">
        <v>0</v>
      </c>
      <c r="Q334" s="16"/>
      <c r="R334" s="16"/>
    </row>
    <row r="335" spans="2:18" ht="40.200000000000003" customHeight="1" x14ac:dyDescent="0.4">
      <c r="B335" s="38"/>
      <c r="C335" s="3"/>
      <c r="D335" s="36"/>
      <c r="E335" s="41" t="s">
        <v>35</v>
      </c>
      <c r="F335" s="13">
        <f t="shared" si="237"/>
        <v>0</v>
      </c>
      <c r="G335" s="85"/>
      <c r="H335" s="84" t="str">
        <f t="shared" ref="H335:H338" si="242">IF(G335="","",(G335))</f>
        <v/>
      </c>
      <c r="I335" s="15" t="str">
        <f t="shared" ref="I335:I338" si="243">IF(H335="","",(H335+I334-J335))</f>
        <v/>
      </c>
      <c r="J335" s="26"/>
      <c r="K335" s="26"/>
      <c r="L335" s="7">
        <f t="shared" ref="L335:L338" si="244">C335</f>
        <v>0</v>
      </c>
      <c r="M335" s="24">
        <f t="shared" ref="M335:M338" si="245">G335</f>
        <v>0</v>
      </c>
      <c r="N335" s="12">
        <v>0</v>
      </c>
      <c r="O335" s="12">
        <v>0</v>
      </c>
      <c r="P335" s="12">
        <v>0</v>
      </c>
      <c r="Q335" s="16"/>
      <c r="R335" s="16"/>
    </row>
    <row r="336" spans="2:18" ht="40.200000000000003" customHeight="1" x14ac:dyDescent="0.4">
      <c r="B336" s="38"/>
      <c r="C336" s="3"/>
      <c r="D336" s="36"/>
      <c r="E336" s="41" t="s">
        <v>35</v>
      </c>
      <c r="F336" s="13">
        <f t="shared" si="237"/>
        <v>0</v>
      </c>
      <c r="G336" s="85"/>
      <c r="H336" s="84" t="str">
        <f t="shared" si="242"/>
        <v/>
      </c>
      <c r="I336" s="15" t="str">
        <f t="shared" si="243"/>
        <v/>
      </c>
      <c r="J336" s="26"/>
      <c r="K336" s="26"/>
      <c r="L336" s="7">
        <f t="shared" si="244"/>
        <v>0</v>
      </c>
      <c r="M336" s="24">
        <f t="shared" si="245"/>
        <v>0</v>
      </c>
      <c r="N336" s="12">
        <v>0</v>
      </c>
      <c r="O336" s="12">
        <v>0</v>
      </c>
      <c r="P336" s="12">
        <v>0</v>
      </c>
      <c r="Q336" s="16"/>
      <c r="R336" s="16"/>
    </row>
    <row r="337" spans="2:18" ht="40.200000000000003" customHeight="1" x14ac:dyDescent="0.4">
      <c r="B337" s="38"/>
      <c r="C337" s="3"/>
      <c r="D337" s="36"/>
      <c r="E337" s="41" t="s">
        <v>35</v>
      </c>
      <c r="F337" s="13">
        <f t="shared" si="237"/>
        <v>0</v>
      </c>
      <c r="G337" s="85"/>
      <c r="H337" s="84" t="str">
        <f t="shared" si="242"/>
        <v/>
      </c>
      <c r="I337" s="15" t="str">
        <f t="shared" si="243"/>
        <v/>
      </c>
      <c r="J337" s="26"/>
      <c r="K337" s="26"/>
      <c r="L337" s="7">
        <f t="shared" si="244"/>
        <v>0</v>
      </c>
      <c r="M337" s="24">
        <f t="shared" si="245"/>
        <v>0</v>
      </c>
      <c r="N337" s="12">
        <v>0</v>
      </c>
      <c r="O337" s="12">
        <v>0</v>
      </c>
      <c r="P337" s="12">
        <v>0</v>
      </c>
      <c r="Q337" s="16"/>
      <c r="R337" s="16"/>
    </row>
    <row r="338" spans="2:18" ht="40.200000000000003" customHeight="1" x14ac:dyDescent="0.4">
      <c r="B338" s="38"/>
      <c r="C338" s="3"/>
      <c r="D338" s="36"/>
      <c r="E338" s="41" t="s">
        <v>35</v>
      </c>
      <c r="F338" s="13">
        <f t="shared" si="237"/>
        <v>0</v>
      </c>
      <c r="G338" s="85"/>
      <c r="H338" s="84" t="str">
        <f t="shared" si="242"/>
        <v/>
      </c>
      <c r="I338" s="15" t="str">
        <f t="shared" si="243"/>
        <v/>
      </c>
      <c r="J338" s="26"/>
      <c r="K338" s="26"/>
      <c r="L338" s="7">
        <f t="shared" si="244"/>
        <v>0</v>
      </c>
      <c r="M338" s="24">
        <f t="shared" si="245"/>
        <v>0</v>
      </c>
      <c r="N338" s="12">
        <v>0</v>
      </c>
      <c r="O338" s="12">
        <v>0</v>
      </c>
      <c r="P338" s="12">
        <v>0</v>
      </c>
      <c r="Q338" s="16"/>
      <c r="R338" s="16"/>
    </row>
    <row r="339" spans="2:18" ht="40.200000000000003" customHeight="1" x14ac:dyDescent="0.4">
      <c r="B339" s="38"/>
      <c r="C339" s="3"/>
      <c r="D339" s="36"/>
      <c r="E339" s="41" t="s">
        <v>35</v>
      </c>
      <c r="F339" s="13">
        <f t="shared" si="237"/>
        <v>0</v>
      </c>
      <c r="G339" s="85"/>
      <c r="H339" s="84" t="str">
        <f t="shared" ref="H339:H343" si="246">IF(G339="","",(G339))</f>
        <v/>
      </c>
      <c r="I339" s="15" t="str">
        <f t="shared" ref="I339:I345" si="247">IF(H339="","",(H339+I338-J339))</f>
        <v/>
      </c>
      <c r="J339" s="26"/>
      <c r="K339" s="26"/>
      <c r="L339" s="7">
        <f t="shared" ref="L339:L343" si="248">C339</f>
        <v>0</v>
      </c>
      <c r="M339" s="24">
        <f t="shared" ref="M339:M343" si="249">G339</f>
        <v>0</v>
      </c>
      <c r="N339" s="12">
        <v>0</v>
      </c>
      <c r="O339" s="12">
        <v>0</v>
      </c>
      <c r="P339" s="12">
        <v>0</v>
      </c>
      <c r="Q339" s="16"/>
      <c r="R339" s="16"/>
    </row>
    <row r="340" spans="2:18" ht="40.200000000000003" customHeight="1" x14ac:dyDescent="0.4">
      <c r="B340" s="38"/>
      <c r="C340" s="3"/>
      <c r="D340" s="36"/>
      <c r="E340" s="41" t="s">
        <v>35</v>
      </c>
      <c r="F340" s="13">
        <f t="shared" si="237"/>
        <v>0</v>
      </c>
      <c r="G340" s="85"/>
      <c r="H340" s="84" t="str">
        <f t="shared" si="246"/>
        <v/>
      </c>
      <c r="I340" s="15" t="str">
        <f t="shared" si="247"/>
        <v/>
      </c>
      <c r="J340" s="26"/>
      <c r="K340" s="26"/>
      <c r="L340" s="7">
        <f t="shared" si="248"/>
        <v>0</v>
      </c>
      <c r="M340" s="24">
        <f t="shared" si="249"/>
        <v>0</v>
      </c>
      <c r="N340" s="12">
        <v>0</v>
      </c>
      <c r="O340" s="12">
        <v>0</v>
      </c>
      <c r="P340" s="12">
        <v>0</v>
      </c>
      <c r="Q340" s="16"/>
      <c r="R340" s="16"/>
    </row>
    <row r="341" spans="2:18" ht="40.200000000000003" customHeight="1" x14ac:dyDescent="0.4">
      <c r="B341" s="38"/>
      <c r="C341" s="3"/>
      <c r="D341" s="36"/>
      <c r="E341" s="41" t="s">
        <v>35</v>
      </c>
      <c r="F341" s="13">
        <f t="shared" si="237"/>
        <v>0</v>
      </c>
      <c r="G341" s="85"/>
      <c r="H341" s="84" t="str">
        <f t="shared" si="246"/>
        <v/>
      </c>
      <c r="I341" s="15" t="str">
        <f t="shared" si="247"/>
        <v/>
      </c>
      <c r="J341" s="26"/>
      <c r="K341" s="26"/>
      <c r="L341" s="7">
        <f t="shared" si="248"/>
        <v>0</v>
      </c>
      <c r="M341" s="24">
        <f t="shared" si="249"/>
        <v>0</v>
      </c>
      <c r="N341" s="12">
        <v>0</v>
      </c>
      <c r="O341" s="12">
        <v>0</v>
      </c>
      <c r="P341" s="12">
        <v>0</v>
      </c>
      <c r="Q341" s="16"/>
      <c r="R341" s="16"/>
    </row>
    <row r="342" spans="2:18" ht="40.200000000000003" customHeight="1" x14ac:dyDescent="0.4">
      <c r="B342" s="38"/>
      <c r="C342" s="3"/>
      <c r="D342" s="36"/>
      <c r="E342" s="41" t="s">
        <v>35</v>
      </c>
      <c r="F342" s="13">
        <f t="shared" si="237"/>
        <v>0</v>
      </c>
      <c r="G342" s="85"/>
      <c r="H342" s="84" t="str">
        <f t="shared" si="246"/>
        <v/>
      </c>
      <c r="I342" s="15" t="str">
        <f t="shared" si="247"/>
        <v/>
      </c>
      <c r="J342" s="26"/>
      <c r="K342" s="26"/>
      <c r="L342" s="7">
        <f t="shared" si="248"/>
        <v>0</v>
      </c>
      <c r="M342" s="24">
        <f t="shared" si="249"/>
        <v>0</v>
      </c>
      <c r="N342" s="12">
        <v>0</v>
      </c>
      <c r="O342" s="12">
        <v>0</v>
      </c>
      <c r="P342" s="12">
        <v>0</v>
      </c>
      <c r="Q342" s="16"/>
      <c r="R342" s="16"/>
    </row>
    <row r="343" spans="2:18" ht="40.200000000000003" customHeight="1" x14ac:dyDescent="0.4">
      <c r="B343" s="38"/>
      <c r="C343" s="3"/>
      <c r="D343" s="36"/>
      <c r="E343" s="41" t="s">
        <v>35</v>
      </c>
      <c r="F343" s="13">
        <f t="shared" si="237"/>
        <v>0</v>
      </c>
      <c r="G343" s="85"/>
      <c r="H343" s="84" t="str">
        <f t="shared" si="246"/>
        <v/>
      </c>
      <c r="I343" s="15" t="str">
        <f t="shared" si="247"/>
        <v/>
      </c>
      <c r="J343" s="26"/>
      <c r="K343" s="26"/>
      <c r="L343" s="7">
        <f t="shared" si="248"/>
        <v>0</v>
      </c>
      <c r="M343" s="24">
        <f t="shared" si="249"/>
        <v>0</v>
      </c>
      <c r="N343" s="12">
        <v>0</v>
      </c>
      <c r="O343" s="12">
        <v>0</v>
      </c>
      <c r="P343" s="12">
        <v>0</v>
      </c>
      <c r="Q343" s="16"/>
      <c r="R343" s="16"/>
    </row>
    <row r="344" spans="2:18" ht="40.200000000000003" customHeight="1" x14ac:dyDescent="0.4">
      <c r="B344" s="38"/>
      <c r="C344" s="3"/>
      <c r="D344" s="36"/>
      <c r="E344" s="41" t="s">
        <v>35</v>
      </c>
      <c r="F344" s="13">
        <f t="shared" si="237"/>
        <v>0</v>
      </c>
      <c r="G344" s="85"/>
      <c r="H344" s="84" t="str">
        <f t="shared" ref="H344:H354" si="250">IF(G344="","",(G344))</f>
        <v/>
      </c>
      <c r="I344" s="15" t="str">
        <f t="shared" si="247"/>
        <v/>
      </c>
      <c r="J344" s="26"/>
      <c r="K344" s="26"/>
      <c r="L344" s="7">
        <f t="shared" ref="L344:L355" si="251">C344</f>
        <v>0</v>
      </c>
      <c r="M344" s="24">
        <f t="shared" ref="M344:M355" si="252">G344</f>
        <v>0</v>
      </c>
      <c r="N344" s="12">
        <v>0</v>
      </c>
      <c r="O344" s="12">
        <v>0</v>
      </c>
      <c r="P344" s="12">
        <v>0</v>
      </c>
      <c r="Q344" s="16"/>
      <c r="R344" s="16"/>
    </row>
    <row r="345" spans="2:18" ht="40.200000000000003" customHeight="1" x14ac:dyDescent="0.4">
      <c r="B345" s="38"/>
      <c r="C345" s="3"/>
      <c r="D345" s="36"/>
      <c r="E345" s="41" t="s">
        <v>35</v>
      </c>
      <c r="F345" s="13">
        <f t="shared" si="237"/>
        <v>0</v>
      </c>
      <c r="G345" s="85"/>
      <c r="H345" s="84" t="str">
        <f t="shared" si="250"/>
        <v/>
      </c>
      <c r="I345" s="15" t="str">
        <f t="shared" si="247"/>
        <v/>
      </c>
      <c r="J345" s="26"/>
      <c r="K345" s="26"/>
      <c r="L345" s="7">
        <f t="shared" si="251"/>
        <v>0</v>
      </c>
      <c r="M345" s="24">
        <f t="shared" si="252"/>
        <v>0</v>
      </c>
      <c r="N345" s="12">
        <v>0</v>
      </c>
      <c r="O345" s="12">
        <v>0</v>
      </c>
      <c r="P345" s="12">
        <v>0</v>
      </c>
      <c r="Q345" s="16"/>
      <c r="R345" s="16"/>
    </row>
    <row r="346" spans="2:18" ht="40.200000000000003" customHeight="1" x14ac:dyDescent="0.4">
      <c r="B346" s="38"/>
      <c r="C346" s="3"/>
      <c r="D346" s="36"/>
      <c r="E346" s="41" t="s">
        <v>35</v>
      </c>
      <c r="F346" s="13">
        <f t="shared" si="237"/>
        <v>0</v>
      </c>
      <c r="G346" s="85"/>
      <c r="H346" s="84" t="str">
        <f t="shared" si="250"/>
        <v/>
      </c>
      <c r="I346" s="15" t="str">
        <f t="shared" ref="I346:I353" si="253">IF(H346="","",(H346+I345-J346))</f>
        <v/>
      </c>
      <c r="J346" s="26"/>
      <c r="K346" s="26"/>
      <c r="L346" s="7">
        <f t="shared" si="251"/>
        <v>0</v>
      </c>
      <c r="M346" s="24">
        <f t="shared" si="252"/>
        <v>0</v>
      </c>
      <c r="N346" s="12">
        <v>0</v>
      </c>
      <c r="O346" s="12">
        <v>0</v>
      </c>
      <c r="P346" s="12">
        <v>0</v>
      </c>
      <c r="Q346" s="16"/>
      <c r="R346" s="16"/>
    </row>
    <row r="347" spans="2:18" ht="40.200000000000003" customHeight="1" x14ac:dyDescent="0.4">
      <c r="B347" s="38"/>
      <c r="C347" s="3"/>
      <c r="D347" s="36"/>
      <c r="E347" s="41" t="s">
        <v>35</v>
      </c>
      <c r="F347" s="13">
        <f t="shared" si="237"/>
        <v>0</v>
      </c>
      <c r="G347" s="85"/>
      <c r="H347" s="84" t="str">
        <f t="shared" si="250"/>
        <v/>
      </c>
      <c r="I347" s="15" t="str">
        <f t="shared" si="253"/>
        <v/>
      </c>
      <c r="J347" s="26"/>
      <c r="K347" s="26"/>
      <c r="L347" s="7">
        <f t="shared" si="251"/>
        <v>0</v>
      </c>
      <c r="M347" s="24">
        <f t="shared" si="252"/>
        <v>0</v>
      </c>
      <c r="N347" s="12">
        <v>0</v>
      </c>
      <c r="O347" s="12">
        <v>0</v>
      </c>
      <c r="P347" s="12">
        <v>0</v>
      </c>
      <c r="Q347" s="16"/>
      <c r="R347" s="16"/>
    </row>
    <row r="348" spans="2:18" ht="40.200000000000003" customHeight="1" x14ac:dyDescent="0.4">
      <c r="B348" s="38"/>
      <c r="C348" s="3"/>
      <c r="D348" s="36"/>
      <c r="E348" s="41" t="s">
        <v>35</v>
      </c>
      <c r="F348" s="13">
        <f t="shared" si="237"/>
        <v>0</v>
      </c>
      <c r="G348" s="85"/>
      <c r="H348" s="84" t="str">
        <f t="shared" si="250"/>
        <v/>
      </c>
      <c r="I348" s="15" t="str">
        <f t="shared" si="253"/>
        <v/>
      </c>
      <c r="J348" s="26"/>
      <c r="K348" s="26"/>
      <c r="L348" s="7">
        <f t="shared" si="251"/>
        <v>0</v>
      </c>
      <c r="M348" s="24">
        <f t="shared" si="252"/>
        <v>0</v>
      </c>
      <c r="N348" s="12">
        <v>0</v>
      </c>
      <c r="O348" s="12">
        <v>0</v>
      </c>
      <c r="P348" s="12">
        <v>0</v>
      </c>
      <c r="Q348" s="16"/>
      <c r="R348" s="16"/>
    </row>
    <row r="349" spans="2:18" ht="40.200000000000003" customHeight="1" x14ac:dyDescent="0.4">
      <c r="B349" s="38"/>
      <c r="C349" s="3"/>
      <c r="D349" s="36"/>
      <c r="E349" s="41" t="s">
        <v>35</v>
      </c>
      <c r="F349" s="13">
        <f t="shared" si="237"/>
        <v>0</v>
      </c>
      <c r="G349" s="85"/>
      <c r="H349" s="84" t="str">
        <f t="shared" si="250"/>
        <v/>
      </c>
      <c r="I349" s="15" t="str">
        <f t="shared" si="253"/>
        <v/>
      </c>
      <c r="J349" s="26"/>
      <c r="K349" s="26"/>
      <c r="L349" s="7">
        <f t="shared" si="251"/>
        <v>0</v>
      </c>
      <c r="M349" s="24">
        <f t="shared" si="252"/>
        <v>0</v>
      </c>
      <c r="N349" s="12">
        <v>0</v>
      </c>
      <c r="O349" s="12">
        <v>0</v>
      </c>
      <c r="P349" s="12">
        <v>0</v>
      </c>
      <c r="Q349" s="16"/>
      <c r="R349" s="16"/>
    </row>
    <row r="350" spans="2:18" ht="40.200000000000003" customHeight="1" x14ac:dyDescent="0.4">
      <c r="B350" s="38"/>
      <c r="C350" s="3"/>
      <c r="D350" s="36"/>
      <c r="E350" s="41" t="s">
        <v>35</v>
      </c>
      <c r="F350" s="13">
        <f t="shared" si="237"/>
        <v>0</v>
      </c>
      <c r="G350" s="85"/>
      <c r="H350" s="84" t="str">
        <f t="shared" si="250"/>
        <v/>
      </c>
      <c r="I350" s="15" t="str">
        <f t="shared" si="253"/>
        <v/>
      </c>
      <c r="J350" s="26"/>
      <c r="K350" s="26"/>
      <c r="L350" s="7">
        <f t="shared" si="251"/>
        <v>0</v>
      </c>
      <c r="M350" s="24">
        <f t="shared" si="252"/>
        <v>0</v>
      </c>
      <c r="N350" s="12">
        <v>0</v>
      </c>
      <c r="O350" s="12">
        <v>0</v>
      </c>
      <c r="P350" s="12">
        <v>0</v>
      </c>
      <c r="Q350" s="16"/>
      <c r="R350" s="16"/>
    </row>
    <row r="351" spans="2:18" ht="40.200000000000003" customHeight="1" x14ac:dyDescent="0.4">
      <c r="B351" s="38"/>
      <c r="C351" s="3"/>
      <c r="D351" s="36"/>
      <c r="E351" s="41" t="s">
        <v>35</v>
      </c>
      <c r="F351" s="13">
        <f t="shared" si="237"/>
        <v>0</v>
      </c>
      <c r="G351" s="85"/>
      <c r="H351" s="84" t="str">
        <f t="shared" si="250"/>
        <v/>
      </c>
      <c r="I351" s="15" t="str">
        <f t="shared" si="253"/>
        <v/>
      </c>
      <c r="J351" s="26"/>
      <c r="K351" s="26"/>
      <c r="L351" s="7">
        <f t="shared" si="251"/>
        <v>0</v>
      </c>
      <c r="M351" s="24">
        <f t="shared" si="252"/>
        <v>0</v>
      </c>
      <c r="N351" s="12">
        <v>0</v>
      </c>
      <c r="O351" s="12">
        <v>0</v>
      </c>
      <c r="P351" s="12">
        <v>0</v>
      </c>
      <c r="Q351" s="16"/>
      <c r="R351" s="16"/>
    </row>
    <row r="352" spans="2:18" ht="40.200000000000003" customHeight="1" x14ac:dyDescent="0.4">
      <c r="B352" s="38"/>
      <c r="C352" s="3"/>
      <c r="D352" s="36"/>
      <c r="E352" s="41" t="s">
        <v>35</v>
      </c>
      <c r="F352" s="13">
        <f t="shared" si="237"/>
        <v>0</v>
      </c>
      <c r="G352" s="85"/>
      <c r="H352" s="84" t="str">
        <f t="shared" si="250"/>
        <v/>
      </c>
      <c r="I352" s="15" t="str">
        <f t="shared" si="253"/>
        <v/>
      </c>
      <c r="J352" s="26"/>
      <c r="K352" s="26"/>
      <c r="L352" s="7">
        <f t="shared" si="251"/>
        <v>0</v>
      </c>
      <c r="M352" s="24">
        <f t="shared" si="252"/>
        <v>0</v>
      </c>
      <c r="N352" s="12">
        <v>0</v>
      </c>
      <c r="O352" s="12">
        <v>0</v>
      </c>
      <c r="P352" s="12">
        <v>0</v>
      </c>
      <c r="Q352" s="16"/>
      <c r="R352" s="16"/>
    </row>
    <row r="353" spans="2:18" ht="40.200000000000003" customHeight="1" x14ac:dyDescent="0.4">
      <c r="B353" s="38"/>
      <c r="C353" s="3"/>
      <c r="D353" s="36"/>
      <c r="E353" s="41" t="s">
        <v>35</v>
      </c>
      <c r="F353" s="13">
        <f t="shared" si="237"/>
        <v>0</v>
      </c>
      <c r="G353" s="85"/>
      <c r="H353" s="84" t="str">
        <f t="shared" ref="H353" si="254">IF(G353="","",(G353))</f>
        <v/>
      </c>
      <c r="I353" s="15" t="str">
        <f t="shared" si="253"/>
        <v/>
      </c>
      <c r="J353" s="26"/>
      <c r="K353" s="26"/>
      <c r="L353" s="7">
        <f t="shared" ref="L353" si="255">C353</f>
        <v>0</v>
      </c>
      <c r="M353" s="24">
        <f t="shared" ref="M353" si="256">G353</f>
        <v>0</v>
      </c>
      <c r="N353" s="12">
        <v>0</v>
      </c>
      <c r="O353" s="12">
        <v>0</v>
      </c>
      <c r="P353" s="12">
        <v>0</v>
      </c>
      <c r="Q353" s="16"/>
      <c r="R353" s="16"/>
    </row>
    <row r="354" spans="2:18" ht="40.200000000000003" customHeight="1" x14ac:dyDescent="0.4">
      <c r="B354" s="38"/>
      <c r="C354" s="3"/>
      <c r="D354" s="36"/>
      <c r="E354" s="41" t="s">
        <v>35</v>
      </c>
      <c r="F354" s="13">
        <f t="shared" si="237"/>
        <v>0</v>
      </c>
      <c r="G354" s="85"/>
      <c r="H354" s="84" t="str">
        <f t="shared" si="250"/>
        <v/>
      </c>
      <c r="I354" s="15" t="str">
        <f t="shared" ref="I354:I365" si="257">IF(H354="","",(H354+I353-J354))</f>
        <v/>
      </c>
      <c r="J354" s="26"/>
      <c r="K354" s="26"/>
      <c r="L354" s="7">
        <f t="shared" si="251"/>
        <v>0</v>
      </c>
      <c r="M354" s="24">
        <f t="shared" si="252"/>
        <v>0</v>
      </c>
      <c r="N354" s="12">
        <v>0</v>
      </c>
      <c r="O354" s="12">
        <v>0</v>
      </c>
      <c r="P354" s="12">
        <v>0</v>
      </c>
      <c r="Q354" s="16"/>
      <c r="R354" s="16"/>
    </row>
    <row r="355" spans="2:18" ht="40.200000000000003" customHeight="1" x14ac:dyDescent="0.4">
      <c r="B355" s="38"/>
      <c r="C355" s="3"/>
      <c r="D355" s="36"/>
      <c r="E355" s="41" t="s">
        <v>35</v>
      </c>
      <c r="F355" s="13">
        <f>G355</f>
        <v>0</v>
      </c>
      <c r="G355" s="85"/>
      <c r="H355" s="84" t="str">
        <f>IF(G355="","",(G355))</f>
        <v/>
      </c>
      <c r="I355" s="15" t="str">
        <f t="shared" si="257"/>
        <v/>
      </c>
      <c r="J355" s="26"/>
      <c r="K355" s="26"/>
      <c r="L355" s="7">
        <f t="shared" si="251"/>
        <v>0</v>
      </c>
      <c r="M355" s="24">
        <f t="shared" si="252"/>
        <v>0</v>
      </c>
      <c r="N355" s="12">
        <v>0</v>
      </c>
      <c r="O355" s="12">
        <v>0</v>
      </c>
      <c r="P355" s="12">
        <v>0</v>
      </c>
      <c r="Q355" s="16"/>
      <c r="R355" s="16"/>
    </row>
    <row r="356" spans="2:18" ht="40.200000000000003" customHeight="1" x14ac:dyDescent="0.4">
      <c r="B356" s="38"/>
      <c r="C356" s="3"/>
      <c r="D356" s="36"/>
      <c r="E356" s="41" t="s">
        <v>35</v>
      </c>
      <c r="F356" s="13">
        <f t="shared" si="237"/>
        <v>0</v>
      </c>
      <c r="G356" s="85"/>
      <c r="H356" s="84" t="str">
        <f>IF(G356="","",(G356))</f>
        <v/>
      </c>
      <c r="I356" s="15" t="str">
        <f t="shared" si="257"/>
        <v/>
      </c>
      <c r="J356" s="26"/>
      <c r="K356" s="26"/>
      <c r="L356" s="7">
        <f t="shared" ref="L356:L365" si="258">C356</f>
        <v>0</v>
      </c>
      <c r="M356" s="24">
        <f t="shared" ref="M356:M365" si="259">G356</f>
        <v>0</v>
      </c>
      <c r="N356" s="12">
        <v>0</v>
      </c>
      <c r="O356" s="12">
        <v>0</v>
      </c>
      <c r="P356" s="12">
        <v>0</v>
      </c>
      <c r="Q356" s="16"/>
      <c r="R356" s="16"/>
    </row>
    <row r="357" spans="2:18" ht="40.200000000000003" customHeight="1" x14ac:dyDescent="0.4">
      <c r="B357" s="38"/>
      <c r="C357" s="3"/>
      <c r="D357" s="36"/>
      <c r="E357" s="41" t="s">
        <v>35</v>
      </c>
      <c r="F357" s="13">
        <f t="shared" si="237"/>
        <v>0</v>
      </c>
      <c r="G357" s="85"/>
      <c r="H357" s="84" t="str">
        <f t="shared" ref="H357:H369" si="260">IF(G357="","",(G357))</f>
        <v/>
      </c>
      <c r="I357" s="15" t="str">
        <f t="shared" si="257"/>
        <v/>
      </c>
      <c r="J357" s="26"/>
      <c r="K357" s="26"/>
      <c r="L357" s="7">
        <f t="shared" si="258"/>
        <v>0</v>
      </c>
      <c r="M357" s="24">
        <f t="shared" si="259"/>
        <v>0</v>
      </c>
      <c r="N357" s="12">
        <v>0</v>
      </c>
      <c r="O357" s="12">
        <v>0</v>
      </c>
      <c r="P357" s="12">
        <v>0</v>
      </c>
      <c r="Q357" s="16"/>
      <c r="R357" s="16"/>
    </row>
    <row r="358" spans="2:18" ht="40.200000000000003" customHeight="1" x14ac:dyDescent="0.4">
      <c r="B358" s="38"/>
      <c r="C358" s="3"/>
      <c r="D358" s="36"/>
      <c r="E358" s="41" t="s">
        <v>35</v>
      </c>
      <c r="F358" s="13">
        <f t="shared" si="237"/>
        <v>0</v>
      </c>
      <c r="G358" s="85"/>
      <c r="H358" s="84" t="str">
        <f t="shared" si="260"/>
        <v/>
      </c>
      <c r="I358" s="15" t="str">
        <f t="shared" si="257"/>
        <v/>
      </c>
      <c r="J358" s="26"/>
      <c r="K358" s="26"/>
      <c r="L358" s="7">
        <f t="shared" si="258"/>
        <v>0</v>
      </c>
      <c r="M358" s="24">
        <f t="shared" si="259"/>
        <v>0</v>
      </c>
      <c r="N358" s="12">
        <v>0</v>
      </c>
      <c r="O358" s="12">
        <v>0</v>
      </c>
      <c r="P358" s="12">
        <v>0</v>
      </c>
      <c r="Q358" s="16"/>
      <c r="R358" s="16"/>
    </row>
    <row r="359" spans="2:18" ht="40.200000000000003" customHeight="1" x14ac:dyDescent="0.4">
      <c r="B359" s="38"/>
      <c r="C359" s="3"/>
      <c r="D359" s="36"/>
      <c r="E359" s="41" t="s">
        <v>35</v>
      </c>
      <c r="F359" s="13">
        <f t="shared" si="237"/>
        <v>0</v>
      </c>
      <c r="G359" s="85"/>
      <c r="H359" s="84" t="str">
        <f t="shared" si="260"/>
        <v/>
      </c>
      <c r="I359" s="15" t="str">
        <f t="shared" si="257"/>
        <v/>
      </c>
      <c r="J359" s="26"/>
      <c r="K359" s="26"/>
      <c r="L359" s="7">
        <f t="shared" si="258"/>
        <v>0</v>
      </c>
      <c r="M359" s="24">
        <f t="shared" si="259"/>
        <v>0</v>
      </c>
      <c r="N359" s="12">
        <v>0</v>
      </c>
      <c r="O359" s="12">
        <v>0</v>
      </c>
      <c r="P359" s="12">
        <v>0</v>
      </c>
      <c r="Q359" s="16"/>
      <c r="R359" s="16"/>
    </row>
    <row r="360" spans="2:18" ht="40.200000000000003" customHeight="1" x14ac:dyDescent="0.4">
      <c r="B360" s="38"/>
      <c r="C360" s="3"/>
      <c r="D360" s="36"/>
      <c r="E360" s="41" t="s">
        <v>35</v>
      </c>
      <c r="F360" s="13">
        <f t="shared" si="237"/>
        <v>0</v>
      </c>
      <c r="G360" s="85"/>
      <c r="H360" s="84" t="str">
        <f t="shared" si="260"/>
        <v/>
      </c>
      <c r="I360" s="15" t="str">
        <f t="shared" si="257"/>
        <v/>
      </c>
      <c r="J360" s="26"/>
      <c r="K360" s="26"/>
      <c r="L360" s="7">
        <f t="shared" si="258"/>
        <v>0</v>
      </c>
      <c r="M360" s="24">
        <f t="shared" si="259"/>
        <v>0</v>
      </c>
      <c r="N360" s="12">
        <v>0</v>
      </c>
      <c r="O360" s="12">
        <v>0</v>
      </c>
      <c r="P360" s="12">
        <v>0</v>
      </c>
      <c r="Q360" s="16"/>
      <c r="R360" s="16"/>
    </row>
    <row r="361" spans="2:18" ht="40.200000000000003" customHeight="1" x14ac:dyDescent="0.4">
      <c r="B361" s="38"/>
      <c r="C361" s="3"/>
      <c r="D361" s="36"/>
      <c r="E361" s="41" t="s">
        <v>35</v>
      </c>
      <c r="F361" s="13">
        <f t="shared" si="237"/>
        <v>0</v>
      </c>
      <c r="G361" s="85"/>
      <c r="H361" s="84" t="str">
        <f t="shared" si="260"/>
        <v/>
      </c>
      <c r="I361" s="15" t="str">
        <f t="shared" si="257"/>
        <v/>
      </c>
      <c r="J361" s="26"/>
      <c r="K361" s="26"/>
      <c r="L361" s="7">
        <f t="shared" si="258"/>
        <v>0</v>
      </c>
      <c r="M361" s="24">
        <f t="shared" si="259"/>
        <v>0</v>
      </c>
      <c r="N361" s="12">
        <v>0</v>
      </c>
      <c r="O361" s="12">
        <v>0</v>
      </c>
      <c r="P361" s="12">
        <v>0</v>
      </c>
      <c r="Q361" s="16"/>
      <c r="R361" s="16"/>
    </row>
    <row r="362" spans="2:18" ht="40.200000000000003" customHeight="1" x14ac:dyDescent="0.4">
      <c r="B362" s="38"/>
      <c r="C362" s="3"/>
      <c r="D362" s="36"/>
      <c r="E362" s="41" t="s">
        <v>35</v>
      </c>
      <c r="F362" s="13">
        <f t="shared" si="237"/>
        <v>0</v>
      </c>
      <c r="G362" s="85"/>
      <c r="H362" s="84" t="str">
        <f t="shared" si="260"/>
        <v/>
      </c>
      <c r="I362" s="15" t="str">
        <f t="shared" si="257"/>
        <v/>
      </c>
      <c r="J362" s="26"/>
      <c r="K362" s="26"/>
      <c r="L362" s="7">
        <f t="shared" si="258"/>
        <v>0</v>
      </c>
      <c r="M362" s="24">
        <f t="shared" si="259"/>
        <v>0</v>
      </c>
      <c r="N362" s="12">
        <v>0</v>
      </c>
      <c r="O362" s="12">
        <v>0</v>
      </c>
      <c r="P362" s="12">
        <v>0</v>
      </c>
      <c r="Q362" s="16"/>
      <c r="R362" s="16"/>
    </row>
    <row r="363" spans="2:18" ht="40.200000000000003" customHeight="1" x14ac:dyDescent="0.4">
      <c r="B363" s="38"/>
      <c r="C363" s="3"/>
      <c r="D363" s="36"/>
      <c r="E363" s="41" t="s">
        <v>35</v>
      </c>
      <c r="F363" s="13">
        <f t="shared" si="237"/>
        <v>0</v>
      </c>
      <c r="G363" s="85"/>
      <c r="H363" s="84" t="str">
        <f t="shared" si="260"/>
        <v/>
      </c>
      <c r="I363" s="15" t="str">
        <f t="shared" si="257"/>
        <v/>
      </c>
      <c r="J363" s="26"/>
      <c r="K363" s="26"/>
      <c r="L363" s="7">
        <f t="shared" si="258"/>
        <v>0</v>
      </c>
      <c r="M363" s="24">
        <f t="shared" si="259"/>
        <v>0</v>
      </c>
      <c r="N363" s="12">
        <v>0</v>
      </c>
      <c r="O363" s="12">
        <v>0</v>
      </c>
      <c r="P363" s="12">
        <v>0</v>
      </c>
      <c r="Q363" s="16"/>
      <c r="R363" s="16"/>
    </row>
    <row r="364" spans="2:18" ht="40.200000000000003" customHeight="1" x14ac:dyDescent="0.4">
      <c r="B364" s="38"/>
      <c r="C364" s="3"/>
      <c r="D364" s="36"/>
      <c r="E364" s="41" t="s">
        <v>35</v>
      </c>
      <c r="F364" s="13">
        <f t="shared" si="237"/>
        <v>0</v>
      </c>
      <c r="G364" s="85"/>
      <c r="H364" s="84" t="str">
        <f t="shared" si="260"/>
        <v/>
      </c>
      <c r="I364" s="15" t="str">
        <f t="shared" si="257"/>
        <v/>
      </c>
      <c r="J364" s="26"/>
      <c r="K364" s="26"/>
      <c r="L364" s="7">
        <f t="shared" si="258"/>
        <v>0</v>
      </c>
      <c r="M364" s="24">
        <f t="shared" si="259"/>
        <v>0</v>
      </c>
      <c r="N364" s="12">
        <v>0</v>
      </c>
      <c r="O364" s="12">
        <v>0</v>
      </c>
      <c r="P364" s="12">
        <v>0</v>
      </c>
      <c r="Q364" s="16"/>
      <c r="R364" s="16"/>
    </row>
    <row r="365" spans="2:18" ht="40.200000000000003" customHeight="1" x14ac:dyDescent="0.4">
      <c r="B365" s="38"/>
      <c r="C365" s="3"/>
      <c r="D365" s="36"/>
      <c r="E365" s="41" t="s">
        <v>35</v>
      </c>
      <c r="F365" s="13">
        <f t="shared" si="237"/>
        <v>0</v>
      </c>
      <c r="G365" s="85"/>
      <c r="H365" s="84" t="str">
        <f t="shared" si="260"/>
        <v/>
      </c>
      <c r="I365" s="15" t="str">
        <f t="shared" si="257"/>
        <v/>
      </c>
      <c r="J365" s="26"/>
      <c r="K365" s="26"/>
      <c r="L365" s="7">
        <f t="shared" si="258"/>
        <v>0</v>
      </c>
      <c r="M365" s="24">
        <f t="shared" si="259"/>
        <v>0</v>
      </c>
      <c r="N365" s="12">
        <v>0</v>
      </c>
      <c r="O365" s="12">
        <v>0</v>
      </c>
      <c r="P365" s="12">
        <v>0</v>
      </c>
      <c r="Q365" s="16"/>
      <c r="R365" s="16"/>
    </row>
    <row r="366" spans="2:18" ht="40.200000000000003" customHeight="1" x14ac:dyDescent="0.4">
      <c r="B366" s="38"/>
      <c r="C366" s="3"/>
      <c r="D366" s="36"/>
      <c r="E366" s="41" t="s">
        <v>35</v>
      </c>
      <c r="F366" s="13">
        <f t="shared" si="237"/>
        <v>0</v>
      </c>
      <c r="G366" s="85"/>
      <c r="H366" s="84" t="str">
        <f t="shared" si="260"/>
        <v/>
      </c>
      <c r="I366" s="15" t="str">
        <f t="shared" ref="I366" si="261">IF(H366="","",(H366+I365-J366))</f>
        <v/>
      </c>
      <c r="J366" s="26"/>
      <c r="K366" s="26"/>
      <c r="L366" s="7">
        <v>46151</v>
      </c>
      <c r="M366" s="24">
        <v>11.108000000000001</v>
      </c>
      <c r="N366" s="12">
        <v>0</v>
      </c>
      <c r="O366" s="12">
        <v>0</v>
      </c>
      <c r="P366" s="12">
        <v>0</v>
      </c>
      <c r="Q366" s="16"/>
      <c r="R366" s="16"/>
    </row>
    <row r="367" spans="2:18" ht="40.200000000000003" customHeight="1" x14ac:dyDescent="0.4">
      <c r="B367" s="38"/>
      <c r="C367" s="3"/>
      <c r="D367" s="36"/>
      <c r="E367" s="41" t="s">
        <v>35</v>
      </c>
      <c r="F367" s="13">
        <f t="shared" si="237"/>
        <v>0</v>
      </c>
      <c r="G367" s="85"/>
      <c r="H367" s="84" t="str">
        <f t="shared" si="260"/>
        <v/>
      </c>
      <c r="I367" s="15" t="str">
        <f>IF(H367="","",(H367+I366-J367))</f>
        <v/>
      </c>
      <c r="J367" s="26"/>
      <c r="K367" s="26"/>
      <c r="L367" s="7">
        <v>46151</v>
      </c>
      <c r="M367" s="24">
        <v>13.82</v>
      </c>
      <c r="N367" s="12">
        <v>0</v>
      </c>
      <c r="O367" s="12">
        <v>0</v>
      </c>
      <c r="P367" s="12">
        <v>0</v>
      </c>
      <c r="Q367" s="16"/>
      <c r="R367" s="16"/>
    </row>
    <row r="368" spans="2:18" ht="40.200000000000003" customHeight="1" x14ac:dyDescent="0.4">
      <c r="B368" s="38"/>
      <c r="C368" s="3"/>
      <c r="D368" s="36"/>
      <c r="E368" s="41" t="s">
        <v>35</v>
      </c>
      <c r="F368" s="13">
        <f t="shared" si="237"/>
        <v>0</v>
      </c>
      <c r="G368" s="85"/>
      <c r="H368" s="84" t="str">
        <f t="shared" si="260"/>
        <v/>
      </c>
      <c r="I368" s="15" t="str">
        <f>IF(H368="","",(H368+I367-J368))</f>
        <v/>
      </c>
      <c r="J368" s="26"/>
      <c r="K368" s="26"/>
      <c r="L368" s="7">
        <v>46151</v>
      </c>
      <c r="M368" s="24">
        <v>0.76100000000000001</v>
      </c>
      <c r="N368" s="12">
        <v>0</v>
      </c>
      <c r="O368" s="12">
        <v>0</v>
      </c>
      <c r="P368" s="12">
        <v>0</v>
      </c>
      <c r="Q368" s="16"/>
      <c r="R368" s="16"/>
    </row>
    <row r="369" spans="2:18" ht="40.200000000000003" customHeight="1" x14ac:dyDescent="0.4">
      <c r="B369" s="38"/>
      <c r="C369" s="3"/>
      <c r="D369" s="36"/>
      <c r="E369" s="41" t="s">
        <v>35</v>
      </c>
      <c r="F369" s="13">
        <f t="shared" si="237"/>
        <v>0</v>
      </c>
      <c r="G369" s="85"/>
      <c r="H369" s="84" t="str">
        <f t="shared" si="260"/>
        <v/>
      </c>
      <c r="I369" s="15" t="str">
        <f>IF(H369="","",(H369+I368-J369))</f>
        <v/>
      </c>
      <c r="J369" s="26"/>
      <c r="K369" s="26"/>
      <c r="L369" s="7">
        <v>46151</v>
      </c>
      <c r="M369" s="24">
        <v>0.152</v>
      </c>
      <c r="N369" s="12">
        <v>0</v>
      </c>
      <c r="O369" s="12">
        <v>0</v>
      </c>
      <c r="P369" s="12">
        <v>0</v>
      </c>
      <c r="Q369" s="16"/>
      <c r="R369" s="16"/>
    </row>
    <row r="370" spans="2:18" ht="40.200000000000003" customHeight="1" x14ac:dyDescent="0.4">
      <c r="B370" s="38"/>
      <c r="C370" s="3"/>
      <c r="D370" s="36"/>
      <c r="E370" s="41" t="s">
        <v>35</v>
      </c>
      <c r="F370" s="13">
        <f t="shared" si="237"/>
        <v>0</v>
      </c>
      <c r="G370" s="85"/>
      <c r="H370" s="84" t="str">
        <f t="shared" ref="H370:H374" si="262">IF(G370="","",(G370))</f>
        <v/>
      </c>
      <c r="I370" s="15" t="str">
        <f t="shared" ref="I370:I374" si="263">IF(H370="","",(H370+I369-J370))</f>
        <v/>
      </c>
      <c r="J370" s="26"/>
      <c r="K370" s="26"/>
      <c r="L370" s="7">
        <v>46151</v>
      </c>
      <c r="M370" s="24">
        <v>0.152</v>
      </c>
      <c r="N370" s="12">
        <v>0</v>
      </c>
      <c r="O370" s="12">
        <v>0</v>
      </c>
      <c r="P370" s="12">
        <v>0</v>
      </c>
      <c r="Q370" s="16"/>
      <c r="R370" s="16"/>
    </row>
    <row r="371" spans="2:18" ht="40.200000000000003" customHeight="1" x14ac:dyDescent="0.4">
      <c r="B371" s="38"/>
      <c r="C371" s="3"/>
      <c r="D371" s="36"/>
      <c r="E371" s="41" t="s">
        <v>35</v>
      </c>
      <c r="F371" s="13">
        <f t="shared" si="237"/>
        <v>0</v>
      </c>
      <c r="G371" s="85"/>
      <c r="H371" s="84" t="str">
        <f t="shared" si="262"/>
        <v/>
      </c>
      <c r="I371" s="15" t="str">
        <f t="shared" si="263"/>
        <v/>
      </c>
      <c r="J371" s="26"/>
      <c r="K371" s="26"/>
      <c r="L371" s="7">
        <f t="shared" ref="L371:L374" si="264">C371</f>
        <v>0</v>
      </c>
      <c r="M371" s="24">
        <f t="shared" ref="M371:M385" si="265">G371</f>
        <v>0</v>
      </c>
      <c r="N371" s="12">
        <v>0</v>
      </c>
      <c r="O371" s="12">
        <v>0</v>
      </c>
      <c r="P371" s="12">
        <v>0</v>
      </c>
      <c r="Q371" s="16"/>
      <c r="R371" s="16"/>
    </row>
    <row r="372" spans="2:18" ht="40.200000000000003" customHeight="1" x14ac:dyDescent="0.4">
      <c r="B372" s="38"/>
      <c r="C372" s="3"/>
      <c r="D372" s="36"/>
      <c r="E372" s="41" t="s">
        <v>35</v>
      </c>
      <c r="F372" s="13">
        <f t="shared" si="237"/>
        <v>0</v>
      </c>
      <c r="G372" s="85"/>
      <c r="H372" s="84" t="str">
        <f t="shared" si="262"/>
        <v/>
      </c>
      <c r="I372" s="15" t="str">
        <f t="shared" si="263"/>
        <v/>
      </c>
      <c r="J372" s="26"/>
      <c r="K372" s="26"/>
      <c r="L372" s="7">
        <f t="shared" si="264"/>
        <v>0</v>
      </c>
      <c r="M372" s="24">
        <f t="shared" si="265"/>
        <v>0</v>
      </c>
      <c r="N372" s="12">
        <v>0</v>
      </c>
      <c r="O372" s="12">
        <v>0</v>
      </c>
      <c r="P372" s="12">
        <v>0</v>
      </c>
      <c r="Q372" s="16"/>
      <c r="R372" s="16"/>
    </row>
    <row r="373" spans="2:18" ht="40.200000000000003" customHeight="1" x14ac:dyDescent="0.4">
      <c r="B373" s="38"/>
      <c r="C373" s="3"/>
      <c r="D373" s="36"/>
      <c r="E373" s="41" t="s">
        <v>35</v>
      </c>
      <c r="F373" s="13">
        <f>G373</f>
        <v>0</v>
      </c>
      <c r="G373" s="85"/>
      <c r="H373" s="84" t="str">
        <f t="shared" si="262"/>
        <v/>
      </c>
      <c r="I373" s="15" t="str">
        <f t="shared" si="263"/>
        <v/>
      </c>
      <c r="J373" s="26"/>
      <c r="K373" s="26"/>
      <c r="L373" s="7">
        <f t="shared" si="264"/>
        <v>0</v>
      </c>
      <c r="M373" s="24">
        <f t="shared" si="265"/>
        <v>0</v>
      </c>
      <c r="N373" s="12">
        <v>0</v>
      </c>
      <c r="O373" s="12">
        <v>0</v>
      </c>
      <c r="P373" s="12">
        <v>0</v>
      </c>
      <c r="Q373" s="16"/>
      <c r="R373" s="16"/>
    </row>
    <row r="374" spans="2:18" ht="40.200000000000003" customHeight="1" x14ac:dyDescent="0.4">
      <c r="B374" s="38"/>
      <c r="C374" s="3"/>
      <c r="D374" s="36"/>
      <c r="E374" s="41" t="s">
        <v>35</v>
      </c>
      <c r="F374" s="13">
        <f t="shared" si="237"/>
        <v>0</v>
      </c>
      <c r="G374" s="85"/>
      <c r="H374" s="84" t="str">
        <f t="shared" si="262"/>
        <v/>
      </c>
      <c r="I374" s="15" t="str">
        <f t="shared" si="263"/>
        <v/>
      </c>
      <c r="J374" s="26"/>
      <c r="K374" s="26"/>
      <c r="L374" s="7">
        <f t="shared" si="264"/>
        <v>0</v>
      </c>
      <c r="M374" s="24">
        <f t="shared" si="265"/>
        <v>0</v>
      </c>
      <c r="N374" s="12">
        <v>0</v>
      </c>
      <c r="O374" s="12">
        <v>0</v>
      </c>
      <c r="P374" s="12">
        <v>0</v>
      </c>
      <c r="Q374" s="16"/>
      <c r="R374" s="16"/>
    </row>
    <row r="375" spans="2:18" ht="40.200000000000003" customHeight="1" x14ac:dyDescent="0.4">
      <c r="B375" s="38"/>
      <c r="C375" s="3"/>
      <c r="D375" s="36"/>
      <c r="E375" s="41" t="s">
        <v>35</v>
      </c>
      <c r="F375" s="13">
        <f t="shared" ref="F375:F377" si="266">G375</f>
        <v>0</v>
      </c>
      <c r="G375" s="85"/>
      <c r="H375" s="84" t="str">
        <f t="shared" ref="H375:H379" si="267">IF(G375="","",(G375))</f>
        <v/>
      </c>
      <c r="I375" s="15" t="str">
        <f t="shared" ref="I375:I379" si="268">IF(H375="","",(H375+I374-J375))</f>
        <v/>
      </c>
      <c r="J375" s="26"/>
      <c r="K375" s="26"/>
      <c r="L375" s="7">
        <v>46151</v>
      </c>
      <c r="M375" s="24">
        <f t="shared" si="265"/>
        <v>0</v>
      </c>
      <c r="N375" s="12">
        <v>0</v>
      </c>
      <c r="O375" s="12">
        <v>0</v>
      </c>
      <c r="P375" s="12">
        <v>0</v>
      </c>
      <c r="Q375" s="16"/>
      <c r="R375" s="16"/>
    </row>
    <row r="376" spans="2:18" ht="40.200000000000003" customHeight="1" x14ac:dyDescent="0.4">
      <c r="B376" s="38"/>
      <c r="C376" s="3"/>
      <c r="D376" s="36"/>
      <c r="E376" s="41" t="s">
        <v>35</v>
      </c>
      <c r="F376" s="13">
        <f t="shared" si="266"/>
        <v>0</v>
      </c>
      <c r="G376" s="85"/>
      <c r="H376" s="84" t="str">
        <f t="shared" si="267"/>
        <v/>
      </c>
      <c r="I376" s="15" t="str">
        <f t="shared" si="268"/>
        <v/>
      </c>
      <c r="J376" s="26"/>
      <c r="K376" s="26"/>
      <c r="L376" s="7">
        <f t="shared" ref="L376:L379" si="269">C376</f>
        <v>0</v>
      </c>
      <c r="M376" s="24">
        <f t="shared" si="265"/>
        <v>0</v>
      </c>
      <c r="N376" s="12">
        <v>0</v>
      </c>
      <c r="O376" s="12">
        <v>0</v>
      </c>
      <c r="P376" s="12">
        <v>0</v>
      </c>
      <c r="Q376" s="16"/>
      <c r="R376" s="16"/>
    </row>
    <row r="377" spans="2:18" ht="40.200000000000003" customHeight="1" x14ac:dyDescent="0.4">
      <c r="B377" s="38"/>
      <c r="C377" s="3"/>
      <c r="D377" s="36"/>
      <c r="E377" s="41" t="s">
        <v>35</v>
      </c>
      <c r="F377" s="13">
        <f t="shared" si="266"/>
        <v>0</v>
      </c>
      <c r="G377" s="85"/>
      <c r="H377" s="84" t="str">
        <f t="shared" si="267"/>
        <v/>
      </c>
      <c r="I377" s="15" t="str">
        <f t="shared" si="268"/>
        <v/>
      </c>
      <c r="J377" s="26"/>
      <c r="K377" s="26"/>
      <c r="L377" s="7">
        <f t="shared" si="269"/>
        <v>0</v>
      </c>
      <c r="M377" s="24">
        <f t="shared" si="265"/>
        <v>0</v>
      </c>
      <c r="N377" s="12">
        <v>0</v>
      </c>
      <c r="O377" s="12">
        <v>0</v>
      </c>
      <c r="P377" s="12">
        <v>0</v>
      </c>
      <c r="Q377" s="16"/>
      <c r="R377" s="16"/>
    </row>
    <row r="378" spans="2:18" ht="40.200000000000003" customHeight="1" x14ac:dyDescent="0.4">
      <c r="B378" s="38"/>
      <c r="C378" s="3"/>
      <c r="D378" s="36"/>
      <c r="E378" s="41" t="s">
        <v>35</v>
      </c>
      <c r="F378" s="13">
        <f>G378</f>
        <v>0</v>
      </c>
      <c r="G378" s="85"/>
      <c r="H378" s="84" t="str">
        <f t="shared" si="267"/>
        <v/>
      </c>
      <c r="I378" s="15" t="str">
        <f t="shared" si="268"/>
        <v/>
      </c>
      <c r="J378" s="26"/>
      <c r="K378" s="26"/>
      <c r="L378" s="7">
        <f t="shared" si="269"/>
        <v>0</v>
      </c>
      <c r="M378" s="24">
        <f t="shared" si="265"/>
        <v>0</v>
      </c>
      <c r="N378" s="12">
        <v>0</v>
      </c>
      <c r="O378" s="12">
        <v>0</v>
      </c>
      <c r="P378" s="12">
        <v>0</v>
      </c>
      <c r="Q378" s="16"/>
      <c r="R378" s="16"/>
    </row>
    <row r="379" spans="2:18" ht="40.200000000000003" customHeight="1" x14ac:dyDescent="0.4">
      <c r="B379" s="38"/>
      <c r="C379" s="3"/>
      <c r="D379" s="36"/>
      <c r="E379" s="41" t="s">
        <v>35</v>
      </c>
      <c r="F379" s="13">
        <f t="shared" ref="F379:F382" si="270">G379</f>
        <v>0</v>
      </c>
      <c r="G379" s="85"/>
      <c r="H379" s="84" t="str">
        <f t="shared" si="267"/>
        <v/>
      </c>
      <c r="I379" s="15" t="str">
        <f t="shared" si="268"/>
        <v/>
      </c>
      <c r="J379" s="26"/>
      <c r="K379" s="26"/>
      <c r="L379" s="7">
        <f t="shared" si="269"/>
        <v>0</v>
      </c>
      <c r="M379" s="24">
        <f t="shared" si="265"/>
        <v>0</v>
      </c>
      <c r="N379" s="12">
        <v>0</v>
      </c>
      <c r="O379" s="12">
        <v>0</v>
      </c>
      <c r="P379" s="12">
        <v>0</v>
      </c>
      <c r="Q379" s="16"/>
      <c r="R379" s="16"/>
    </row>
    <row r="380" spans="2:18" ht="40.200000000000003" customHeight="1" x14ac:dyDescent="0.4">
      <c r="B380" s="38"/>
      <c r="C380" s="3"/>
      <c r="D380" s="36"/>
      <c r="E380" s="41" t="s">
        <v>35</v>
      </c>
      <c r="F380" s="13">
        <f t="shared" si="270"/>
        <v>0</v>
      </c>
      <c r="G380" s="85"/>
      <c r="H380" s="84" t="str">
        <f t="shared" ref="H380:H383" si="271">IF(G380="","",(G380))</f>
        <v/>
      </c>
      <c r="I380" s="15" t="str">
        <f t="shared" ref="I380:I383" si="272">IF(H380="","",(H380+I379-J380))</f>
        <v/>
      </c>
      <c r="J380" s="26"/>
      <c r="K380" s="26"/>
      <c r="L380" s="7">
        <v>46151</v>
      </c>
      <c r="M380" s="24">
        <f t="shared" si="265"/>
        <v>0</v>
      </c>
      <c r="N380" s="12">
        <v>0</v>
      </c>
      <c r="O380" s="12">
        <v>0</v>
      </c>
      <c r="P380" s="12">
        <v>0</v>
      </c>
      <c r="Q380" s="16"/>
      <c r="R380" s="16"/>
    </row>
    <row r="381" spans="2:18" ht="40.200000000000003" customHeight="1" x14ac:dyDescent="0.4">
      <c r="B381" s="38"/>
      <c r="C381" s="3"/>
      <c r="D381" s="36"/>
      <c r="E381" s="41" t="s">
        <v>35</v>
      </c>
      <c r="F381" s="13">
        <f t="shared" si="270"/>
        <v>0</v>
      </c>
      <c r="G381" s="85"/>
      <c r="H381" s="84" t="str">
        <f t="shared" si="271"/>
        <v/>
      </c>
      <c r="I381" s="15" t="str">
        <f t="shared" si="272"/>
        <v/>
      </c>
      <c r="J381" s="26"/>
      <c r="K381" s="26"/>
      <c r="L381" s="7">
        <f t="shared" ref="L381:L383" si="273">C381</f>
        <v>0</v>
      </c>
      <c r="M381" s="24">
        <f t="shared" si="265"/>
        <v>0</v>
      </c>
      <c r="N381" s="12">
        <v>0</v>
      </c>
      <c r="O381" s="12">
        <v>0</v>
      </c>
      <c r="P381" s="12">
        <v>0</v>
      </c>
      <c r="Q381" s="16"/>
      <c r="R381" s="16"/>
    </row>
    <row r="382" spans="2:18" ht="40.200000000000003" customHeight="1" x14ac:dyDescent="0.4">
      <c r="B382" s="38"/>
      <c r="C382" s="3"/>
      <c r="D382" s="36"/>
      <c r="E382" s="41" t="s">
        <v>35</v>
      </c>
      <c r="F382" s="13">
        <f t="shared" si="270"/>
        <v>0</v>
      </c>
      <c r="G382" s="85"/>
      <c r="H382" s="84" t="str">
        <f t="shared" si="271"/>
        <v/>
      </c>
      <c r="I382" s="15" t="str">
        <f t="shared" si="272"/>
        <v/>
      </c>
      <c r="J382" s="26"/>
      <c r="K382" s="26"/>
      <c r="L382" s="7">
        <f t="shared" si="273"/>
        <v>0</v>
      </c>
      <c r="M382" s="24">
        <f t="shared" si="265"/>
        <v>0</v>
      </c>
      <c r="N382" s="12">
        <v>0</v>
      </c>
      <c r="O382" s="12">
        <v>0</v>
      </c>
      <c r="P382" s="12">
        <v>0</v>
      </c>
      <c r="Q382" s="16"/>
      <c r="R382" s="16"/>
    </row>
    <row r="383" spans="2:18" ht="40.200000000000003" customHeight="1" x14ac:dyDescent="0.4">
      <c r="B383" s="38"/>
      <c r="C383" s="3"/>
      <c r="D383" s="36"/>
      <c r="E383" s="41" t="s">
        <v>35</v>
      </c>
      <c r="F383" s="13">
        <f>G383</f>
        <v>0</v>
      </c>
      <c r="G383" s="85"/>
      <c r="H383" s="84" t="str">
        <f t="shared" si="271"/>
        <v/>
      </c>
      <c r="I383" s="15" t="str">
        <f t="shared" si="272"/>
        <v/>
      </c>
      <c r="J383" s="26"/>
      <c r="K383" s="26"/>
      <c r="L383" s="7">
        <f t="shared" si="273"/>
        <v>0</v>
      </c>
      <c r="M383" s="24">
        <f t="shared" si="265"/>
        <v>0</v>
      </c>
      <c r="N383" s="12">
        <v>0</v>
      </c>
      <c r="O383" s="12">
        <v>0</v>
      </c>
      <c r="P383" s="12">
        <v>0</v>
      </c>
      <c r="Q383" s="16"/>
      <c r="R383" s="16"/>
    </row>
    <row r="384" spans="2:18" ht="40.200000000000003" customHeight="1" x14ac:dyDescent="0.4">
      <c r="B384" s="38"/>
      <c r="C384" s="3"/>
      <c r="D384" s="36"/>
      <c r="E384" s="41" t="s">
        <v>35</v>
      </c>
      <c r="F384" s="13">
        <f>G384</f>
        <v>0</v>
      </c>
      <c r="G384" s="85"/>
      <c r="H384" s="84" t="str">
        <f t="shared" ref="H384:H388" si="274">IF(G384="","",(G384))</f>
        <v/>
      </c>
      <c r="I384" s="15" t="str">
        <f t="shared" ref="I384:I388" si="275">IF(H384="","",(H384+I383-J384))</f>
        <v/>
      </c>
      <c r="J384" s="26"/>
      <c r="K384" s="26"/>
      <c r="L384" s="7">
        <f t="shared" ref="L384" si="276">C384</f>
        <v>0</v>
      </c>
      <c r="M384" s="24">
        <f t="shared" si="265"/>
        <v>0</v>
      </c>
      <c r="N384" s="12">
        <v>0</v>
      </c>
      <c r="O384" s="12">
        <v>0</v>
      </c>
      <c r="P384" s="12">
        <v>0</v>
      </c>
      <c r="Q384" s="16"/>
      <c r="R384" s="16"/>
    </row>
    <row r="385" spans="2:18" ht="40.200000000000003" customHeight="1" x14ac:dyDescent="0.4">
      <c r="B385" s="38"/>
      <c r="C385" s="3"/>
      <c r="D385" s="36"/>
      <c r="E385" s="41" t="s">
        <v>35</v>
      </c>
      <c r="F385" s="13">
        <f t="shared" ref="F385:F387" si="277">G385</f>
        <v>0</v>
      </c>
      <c r="G385" s="85"/>
      <c r="H385" s="84" t="str">
        <f t="shared" si="274"/>
        <v/>
      </c>
      <c r="I385" s="15" t="str">
        <f t="shared" si="275"/>
        <v/>
      </c>
      <c r="J385" s="26"/>
      <c r="K385" s="26"/>
      <c r="L385" s="7">
        <v>46151</v>
      </c>
      <c r="M385" s="24">
        <f t="shared" si="265"/>
        <v>0</v>
      </c>
      <c r="N385" s="12">
        <v>0</v>
      </c>
      <c r="O385" s="12">
        <v>0</v>
      </c>
      <c r="P385" s="12">
        <v>0</v>
      </c>
      <c r="Q385" s="16"/>
      <c r="R385" s="16"/>
    </row>
    <row r="386" spans="2:18" ht="40.200000000000003" customHeight="1" x14ac:dyDescent="0.4">
      <c r="B386" s="38"/>
      <c r="C386" s="3"/>
      <c r="D386" s="36"/>
      <c r="E386" s="41" t="s">
        <v>35</v>
      </c>
      <c r="F386" s="13">
        <f t="shared" si="277"/>
        <v>0</v>
      </c>
      <c r="G386" s="85"/>
      <c r="H386" s="84" t="str">
        <f t="shared" si="274"/>
        <v/>
      </c>
      <c r="I386" s="15" t="str">
        <f t="shared" si="275"/>
        <v/>
      </c>
      <c r="J386" s="26"/>
      <c r="K386" s="26"/>
      <c r="L386" s="7">
        <f t="shared" ref="L386:L388" si="278">C386</f>
        <v>0</v>
      </c>
      <c r="M386" s="24">
        <f t="shared" ref="M386:M396" si="279">G386</f>
        <v>0</v>
      </c>
      <c r="N386" s="12">
        <v>0</v>
      </c>
      <c r="O386" s="12">
        <v>0</v>
      </c>
      <c r="P386" s="12">
        <v>0</v>
      </c>
      <c r="Q386" s="16"/>
      <c r="R386" s="16"/>
    </row>
    <row r="387" spans="2:18" ht="40.200000000000003" customHeight="1" x14ac:dyDescent="0.4">
      <c r="B387" s="38"/>
      <c r="C387" s="3"/>
      <c r="D387" s="36"/>
      <c r="E387" s="41" t="s">
        <v>35</v>
      </c>
      <c r="F387" s="13">
        <f t="shared" si="277"/>
        <v>0</v>
      </c>
      <c r="G387" s="85"/>
      <c r="H387" s="84" t="str">
        <f t="shared" si="274"/>
        <v/>
      </c>
      <c r="I387" s="15" t="str">
        <f t="shared" si="275"/>
        <v/>
      </c>
      <c r="J387" s="26"/>
      <c r="K387" s="26"/>
      <c r="L387" s="7">
        <f t="shared" si="278"/>
        <v>0</v>
      </c>
      <c r="M387" s="24">
        <f t="shared" si="279"/>
        <v>0</v>
      </c>
      <c r="N387" s="12">
        <v>0</v>
      </c>
      <c r="O387" s="12">
        <v>0</v>
      </c>
      <c r="P387" s="12">
        <v>0</v>
      </c>
      <c r="Q387" s="16"/>
      <c r="R387" s="16"/>
    </row>
    <row r="388" spans="2:18" ht="39.75" customHeight="1" x14ac:dyDescent="0.4">
      <c r="B388" s="38"/>
      <c r="C388" s="3"/>
      <c r="D388" s="36"/>
      <c r="E388" s="41" t="s">
        <v>35</v>
      </c>
      <c r="F388" s="13">
        <f>G388</f>
        <v>0</v>
      </c>
      <c r="G388" s="85"/>
      <c r="H388" s="84" t="str">
        <f t="shared" si="274"/>
        <v/>
      </c>
      <c r="I388" s="15" t="str">
        <f t="shared" si="275"/>
        <v/>
      </c>
      <c r="J388" s="26"/>
      <c r="K388" s="26"/>
      <c r="L388" s="7">
        <f t="shared" si="278"/>
        <v>0</v>
      </c>
      <c r="M388" s="24">
        <f t="shared" si="279"/>
        <v>0</v>
      </c>
      <c r="N388" s="12">
        <v>0</v>
      </c>
      <c r="O388" s="12">
        <v>0</v>
      </c>
      <c r="P388" s="12">
        <v>0</v>
      </c>
      <c r="Q388" s="16"/>
      <c r="R388" s="16"/>
    </row>
    <row r="389" spans="2:18" ht="40.200000000000003" customHeight="1" x14ac:dyDescent="0.4">
      <c r="B389" s="38"/>
      <c r="C389" s="3"/>
      <c r="D389" s="36"/>
      <c r="E389" s="41" t="s">
        <v>35</v>
      </c>
      <c r="F389" s="13">
        <f t="shared" ref="F389:F391" si="280">G389</f>
        <v>0</v>
      </c>
      <c r="G389" s="85"/>
      <c r="H389" s="84" t="str">
        <f t="shared" ref="H389:H392" si="281">IF(G389="","",(G389))</f>
        <v/>
      </c>
      <c r="I389" s="15" t="str">
        <f t="shared" ref="I389:I392" si="282">IF(H389="","",(H389+I388-J389))</f>
        <v/>
      </c>
      <c r="J389" s="26"/>
      <c r="K389" s="26"/>
      <c r="L389" s="7">
        <v>46151</v>
      </c>
      <c r="M389" s="24">
        <f t="shared" si="279"/>
        <v>0</v>
      </c>
      <c r="N389" s="12">
        <v>0</v>
      </c>
      <c r="O389" s="12">
        <v>0</v>
      </c>
      <c r="P389" s="12">
        <v>0</v>
      </c>
      <c r="Q389" s="16"/>
      <c r="R389" s="16"/>
    </row>
    <row r="390" spans="2:18" ht="40.200000000000003" customHeight="1" x14ac:dyDescent="0.4">
      <c r="B390" s="38"/>
      <c r="C390" s="3"/>
      <c r="D390" s="36"/>
      <c r="E390" s="41" t="s">
        <v>35</v>
      </c>
      <c r="F390" s="13">
        <f t="shared" si="280"/>
        <v>0</v>
      </c>
      <c r="G390" s="85"/>
      <c r="H390" s="84" t="str">
        <f t="shared" si="281"/>
        <v/>
      </c>
      <c r="I390" s="15" t="str">
        <f t="shared" si="282"/>
        <v/>
      </c>
      <c r="J390" s="26"/>
      <c r="K390" s="26"/>
      <c r="L390" s="7">
        <f t="shared" ref="L390:L392" si="283">C390</f>
        <v>0</v>
      </c>
      <c r="M390" s="24">
        <f t="shared" si="279"/>
        <v>0</v>
      </c>
      <c r="N390" s="12">
        <v>0</v>
      </c>
      <c r="O390" s="12">
        <v>0</v>
      </c>
      <c r="P390" s="12">
        <v>0</v>
      </c>
      <c r="Q390" s="16"/>
      <c r="R390" s="16"/>
    </row>
    <row r="391" spans="2:18" ht="40.200000000000003" customHeight="1" x14ac:dyDescent="0.4">
      <c r="B391" s="38"/>
      <c r="C391" s="3"/>
      <c r="D391" s="36"/>
      <c r="E391" s="41" t="s">
        <v>35</v>
      </c>
      <c r="F391" s="13">
        <f t="shared" si="280"/>
        <v>0</v>
      </c>
      <c r="G391" s="85"/>
      <c r="H391" s="84" t="str">
        <f t="shared" si="281"/>
        <v/>
      </c>
      <c r="I391" s="15" t="str">
        <f t="shared" si="282"/>
        <v/>
      </c>
      <c r="J391" s="26"/>
      <c r="K391" s="26"/>
      <c r="L391" s="7">
        <f t="shared" si="283"/>
        <v>0</v>
      </c>
      <c r="M391" s="24">
        <f t="shared" si="279"/>
        <v>0</v>
      </c>
      <c r="N391" s="12">
        <v>0</v>
      </c>
      <c r="O391" s="12">
        <v>0</v>
      </c>
      <c r="P391" s="12">
        <v>0</v>
      </c>
      <c r="Q391" s="16"/>
      <c r="R391" s="16"/>
    </row>
    <row r="392" spans="2:18" ht="39.75" customHeight="1" x14ac:dyDescent="0.4">
      <c r="B392" s="38"/>
      <c r="C392" s="3"/>
      <c r="D392" s="36"/>
      <c r="E392" s="41" t="s">
        <v>35</v>
      </c>
      <c r="F392" s="13">
        <f>G392</f>
        <v>0</v>
      </c>
      <c r="G392" s="85"/>
      <c r="H392" s="84" t="str">
        <f t="shared" si="281"/>
        <v/>
      </c>
      <c r="I392" s="15" t="str">
        <f t="shared" si="282"/>
        <v/>
      </c>
      <c r="J392" s="26"/>
      <c r="K392" s="26"/>
      <c r="L392" s="7">
        <f t="shared" si="283"/>
        <v>0</v>
      </c>
      <c r="M392" s="24">
        <f t="shared" si="279"/>
        <v>0</v>
      </c>
      <c r="N392" s="12">
        <v>0</v>
      </c>
      <c r="O392" s="12">
        <v>0</v>
      </c>
      <c r="P392" s="12">
        <v>0</v>
      </c>
      <c r="Q392" s="16"/>
      <c r="R392" s="16"/>
    </row>
    <row r="393" spans="2:18" ht="40.200000000000003" customHeight="1" x14ac:dyDescent="0.4">
      <c r="B393" s="38"/>
      <c r="C393" s="3"/>
      <c r="D393" s="36"/>
      <c r="E393" s="41" t="s">
        <v>35</v>
      </c>
      <c r="F393" s="13">
        <f t="shared" ref="F393:F418" si="284">G393</f>
        <v>0</v>
      </c>
      <c r="G393" s="85"/>
      <c r="H393" s="84" t="str">
        <f t="shared" ref="H393:H395" si="285">IF(G393="","",(G393))</f>
        <v/>
      </c>
      <c r="I393" s="15" t="str">
        <f t="shared" ref="I393:I395" si="286">IF(H393="","",(H393+I392-J393))</f>
        <v/>
      </c>
      <c r="J393" s="26"/>
      <c r="K393" s="26"/>
      <c r="L393" s="7">
        <v>46151</v>
      </c>
      <c r="M393" s="24">
        <f t="shared" si="279"/>
        <v>0</v>
      </c>
      <c r="N393" s="12">
        <v>0</v>
      </c>
      <c r="O393" s="12">
        <v>0</v>
      </c>
      <c r="P393" s="12">
        <v>0</v>
      </c>
      <c r="Q393" s="16"/>
      <c r="R393" s="16"/>
    </row>
    <row r="394" spans="2:18" ht="40.200000000000003" customHeight="1" x14ac:dyDescent="0.4">
      <c r="B394" s="38"/>
      <c r="C394" s="3"/>
      <c r="D394" s="36"/>
      <c r="E394" s="41" t="s">
        <v>35</v>
      </c>
      <c r="F394" s="13">
        <f t="shared" si="284"/>
        <v>0</v>
      </c>
      <c r="G394" s="85"/>
      <c r="H394" s="84" t="str">
        <f t="shared" si="285"/>
        <v/>
      </c>
      <c r="I394" s="15" t="str">
        <f t="shared" si="286"/>
        <v/>
      </c>
      <c r="J394" s="26"/>
      <c r="K394" s="26"/>
      <c r="L394" s="7">
        <f t="shared" ref="L394:L395" si="287">C394</f>
        <v>0</v>
      </c>
      <c r="M394" s="24">
        <f t="shared" si="279"/>
        <v>0</v>
      </c>
      <c r="N394" s="12">
        <v>0</v>
      </c>
      <c r="O394" s="12">
        <v>0</v>
      </c>
      <c r="P394" s="12">
        <v>0</v>
      </c>
      <c r="Q394" s="16"/>
      <c r="R394" s="16"/>
    </row>
    <row r="395" spans="2:18" ht="40.200000000000003" customHeight="1" x14ac:dyDescent="0.4">
      <c r="B395" s="38"/>
      <c r="C395" s="3"/>
      <c r="D395" s="36"/>
      <c r="E395" s="41" t="s">
        <v>35</v>
      </c>
      <c r="F395" s="13">
        <f t="shared" si="284"/>
        <v>0</v>
      </c>
      <c r="G395" s="85"/>
      <c r="H395" s="84" t="str">
        <f t="shared" si="285"/>
        <v/>
      </c>
      <c r="I395" s="15" t="str">
        <f t="shared" si="286"/>
        <v/>
      </c>
      <c r="J395" s="26"/>
      <c r="K395" s="26"/>
      <c r="L395" s="7">
        <f t="shared" si="287"/>
        <v>0</v>
      </c>
      <c r="M395" s="24">
        <f t="shared" si="279"/>
        <v>0</v>
      </c>
      <c r="N395" s="12">
        <v>0</v>
      </c>
      <c r="O395" s="12">
        <v>0</v>
      </c>
      <c r="P395" s="12">
        <v>0</v>
      </c>
      <c r="Q395" s="16"/>
      <c r="R395" s="16"/>
    </row>
    <row r="396" spans="2:18" ht="40.200000000000003" customHeight="1" x14ac:dyDescent="0.4">
      <c r="B396" s="38"/>
      <c r="C396" s="3"/>
      <c r="D396" s="36"/>
      <c r="E396" s="41" t="s">
        <v>35</v>
      </c>
      <c r="F396" s="13">
        <f t="shared" si="284"/>
        <v>0</v>
      </c>
      <c r="G396" s="85"/>
      <c r="H396" s="84" t="str">
        <f t="shared" ref="H396:H400" si="288">IF(G396="","",(G396))</f>
        <v/>
      </c>
      <c r="I396" s="15" t="str">
        <f t="shared" ref="I396:I400" si="289">IF(H396="","",(H396+I395-J396))</f>
        <v/>
      </c>
      <c r="J396" s="26"/>
      <c r="K396" s="26"/>
      <c r="L396" s="7">
        <f t="shared" ref="L396:L400" si="290">C396</f>
        <v>0</v>
      </c>
      <c r="M396" s="24">
        <f t="shared" si="279"/>
        <v>0</v>
      </c>
      <c r="N396" s="12">
        <v>0</v>
      </c>
      <c r="O396" s="12">
        <v>0</v>
      </c>
      <c r="P396" s="12">
        <v>0</v>
      </c>
      <c r="Q396" s="16"/>
      <c r="R396" s="16"/>
    </row>
    <row r="397" spans="2:18" ht="40.200000000000003" customHeight="1" x14ac:dyDescent="0.4">
      <c r="B397" s="38"/>
      <c r="C397" s="3"/>
      <c r="D397" s="36"/>
      <c r="E397" s="41" t="s">
        <v>35</v>
      </c>
      <c r="F397" s="13">
        <f t="shared" si="284"/>
        <v>0</v>
      </c>
      <c r="G397" s="85"/>
      <c r="H397" s="84" t="str">
        <f t="shared" si="288"/>
        <v/>
      </c>
      <c r="I397" s="15" t="str">
        <f t="shared" si="289"/>
        <v/>
      </c>
      <c r="J397" s="26"/>
      <c r="K397" s="26"/>
      <c r="L397" s="7">
        <f t="shared" si="290"/>
        <v>0</v>
      </c>
      <c r="M397" s="24">
        <f t="shared" ref="M396:M400" si="291">G397</f>
        <v>0</v>
      </c>
      <c r="N397" s="12">
        <v>0</v>
      </c>
      <c r="O397" s="12">
        <v>0</v>
      </c>
      <c r="P397" s="12">
        <v>0</v>
      </c>
      <c r="Q397" s="16"/>
      <c r="R397" s="16"/>
    </row>
    <row r="398" spans="2:18" ht="40.200000000000003" customHeight="1" x14ac:dyDescent="0.4">
      <c r="B398" s="38"/>
      <c r="C398" s="3"/>
      <c r="D398" s="36"/>
      <c r="E398" s="41" t="s">
        <v>35</v>
      </c>
      <c r="F398" s="13">
        <f t="shared" si="284"/>
        <v>0</v>
      </c>
      <c r="G398" s="85"/>
      <c r="H398" s="84" t="str">
        <f t="shared" si="288"/>
        <v/>
      </c>
      <c r="I398" s="15" t="str">
        <f t="shared" si="289"/>
        <v/>
      </c>
      <c r="J398" s="26"/>
      <c r="K398" s="26"/>
      <c r="L398" s="7">
        <f t="shared" si="290"/>
        <v>0</v>
      </c>
      <c r="M398" s="24">
        <f t="shared" si="291"/>
        <v>0</v>
      </c>
      <c r="N398" s="12">
        <v>0</v>
      </c>
      <c r="O398" s="12">
        <v>0</v>
      </c>
      <c r="P398" s="12">
        <v>0</v>
      </c>
      <c r="Q398" s="16"/>
      <c r="R398" s="16"/>
    </row>
    <row r="399" spans="2:18" ht="40.200000000000003" customHeight="1" x14ac:dyDescent="0.4">
      <c r="B399" s="38"/>
      <c r="C399" s="3"/>
      <c r="D399" s="36"/>
      <c r="E399" s="41" t="s">
        <v>35</v>
      </c>
      <c r="F399" s="13">
        <f t="shared" si="284"/>
        <v>0</v>
      </c>
      <c r="G399" s="85"/>
      <c r="H399" s="84" t="str">
        <f t="shared" si="288"/>
        <v/>
      </c>
      <c r="I399" s="15" t="str">
        <f t="shared" si="289"/>
        <v/>
      </c>
      <c r="J399" s="26"/>
      <c r="K399" s="26"/>
      <c r="L399" s="7">
        <f t="shared" si="290"/>
        <v>0</v>
      </c>
      <c r="M399" s="24">
        <f t="shared" si="291"/>
        <v>0</v>
      </c>
      <c r="N399" s="12">
        <v>0</v>
      </c>
      <c r="O399" s="12">
        <v>0</v>
      </c>
      <c r="P399" s="12">
        <v>0</v>
      </c>
      <c r="Q399" s="16"/>
      <c r="R399" s="16"/>
    </row>
    <row r="400" spans="2:18" ht="40.200000000000003" customHeight="1" x14ac:dyDescent="0.4">
      <c r="B400" s="38"/>
      <c r="C400" s="3"/>
      <c r="D400" s="36"/>
      <c r="E400" s="41" t="s">
        <v>35</v>
      </c>
      <c r="F400" s="13">
        <f t="shared" si="284"/>
        <v>0</v>
      </c>
      <c r="G400" s="85"/>
      <c r="H400" s="84" t="str">
        <f t="shared" si="288"/>
        <v/>
      </c>
      <c r="I400" s="15" t="str">
        <f t="shared" si="289"/>
        <v/>
      </c>
      <c r="J400" s="26"/>
      <c r="K400" s="26"/>
      <c r="L400" s="7">
        <f t="shared" si="290"/>
        <v>0</v>
      </c>
      <c r="M400" s="24">
        <f t="shared" si="291"/>
        <v>0</v>
      </c>
      <c r="N400" s="12">
        <v>0</v>
      </c>
      <c r="O400" s="12">
        <v>0</v>
      </c>
      <c r="P400" s="12">
        <v>0</v>
      </c>
      <c r="Q400" s="16"/>
      <c r="R400" s="16"/>
    </row>
    <row r="401" spans="2:18" ht="40.200000000000003" customHeight="1" x14ac:dyDescent="0.4">
      <c r="B401" s="38"/>
      <c r="C401" s="3"/>
      <c r="D401" s="36"/>
      <c r="E401" s="41" t="s">
        <v>35</v>
      </c>
      <c r="F401" s="13">
        <f t="shared" si="284"/>
        <v>0</v>
      </c>
      <c r="G401" s="85"/>
      <c r="H401" s="84" t="str">
        <f t="shared" ref="H401" si="292">IF(G401="","",(G401))</f>
        <v/>
      </c>
      <c r="I401" s="15" t="str">
        <f t="shared" ref="I401" si="293">IF(H401="","",(H401+I400-J401))</f>
        <v/>
      </c>
      <c r="J401" s="26"/>
      <c r="K401" s="26"/>
      <c r="L401" s="7">
        <f t="shared" ref="L401" si="294">C401</f>
        <v>0</v>
      </c>
      <c r="M401" s="24">
        <f t="shared" ref="M401" si="295">G401</f>
        <v>0</v>
      </c>
      <c r="N401" s="12">
        <v>0</v>
      </c>
      <c r="O401" s="12">
        <v>0</v>
      </c>
      <c r="P401" s="12">
        <v>0</v>
      </c>
      <c r="Q401" s="16"/>
      <c r="R401" s="16"/>
    </row>
    <row r="402" spans="2:18" ht="40.200000000000003" customHeight="1" x14ac:dyDescent="0.4">
      <c r="B402" s="38"/>
      <c r="C402" s="3"/>
      <c r="D402" s="36"/>
      <c r="E402" s="41" t="s">
        <v>35</v>
      </c>
      <c r="F402" s="13">
        <f t="shared" si="284"/>
        <v>0</v>
      </c>
      <c r="G402" s="85"/>
      <c r="H402" s="84" t="str">
        <f t="shared" ref="H402" si="296">IF(G402="","",(G402))</f>
        <v/>
      </c>
      <c r="I402" s="15" t="str">
        <f t="shared" ref="I402" si="297">IF(H402="","",(H402+I401-J402))</f>
        <v/>
      </c>
      <c r="J402" s="26"/>
      <c r="K402" s="26"/>
      <c r="L402" s="7">
        <f t="shared" ref="L402" si="298">C402</f>
        <v>0</v>
      </c>
      <c r="M402" s="24">
        <f t="shared" ref="M402" si="299">G402</f>
        <v>0</v>
      </c>
      <c r="N402" s="12">
        <v>0</v>
      </c>
      <c r="O402" s="12">
        <v>0</v>
      </c>
      <c r="P402" s="12">
        <v>0</v>
      </c>
      <c r="Q402" s="16"/>
      <c r="R402" s="16"/>
    </row>
    <row r="403" spans="2:18" ht="40.200000000000003" customHeight="1" x14ac:dyDescent="0.4">
      <c r="B403" s="38"/>
      <c r="C403" s="3"/>
      <c r="D403" s="36"/>
      <c r="E403" s="41" t="s">
        <v>35</v>
      </c>
      <c r="F403" s="13">
        <f t="shared" si="284"/>
        <v>0</v>
      </c>
      <c r="G403" s="85"/>
      <c r="H403" s="84" t="str">
        <f t="shared" ref="H403:H405" si="300">IF(G403="","",(G403))</f>
        <v/>
      </c>
      <c r="I403" s="15" t="str">
        <f t="shared" ref="I403:I405" si="301">IF(H403="","",(H403+I402-J403))</f>
        <v/>
      </c>
      <c r="J403" s="26"/>
      <c r="K403" s="26"/>
      <c r="L403" s="7">
        <f t="shared" ref="L403:L405" si="302">C403</f>
        <v>0</v>
      </c>
      <c r="M403" s="24">
        <f t="shared" ref="M403:M405" si="303">G403</f>
        <v>0</v>
      </c>
      <c r="N403" s="12">
        <v>0</v>
      </c>
      <c r="O403" s="12">
        <v>0</v>
      </c>
      <c r="P403" s="12">
        <v>0</v>
      </c>
      <c r="Q403" s="16"/>
      <c r="R403" s="16"/>
    </row>
    <row r="404" spans="2:18" ht="40.200000000000003" customHeight="1" x14ac:dyDescent="0.4">
      <c r="B404" s="38"/>
      <c r="C404" s="3"/>
      <c r="D404" s="36"/>
      <c r="E404" s="41" t="s">
        <v>35</v>
      </c>
      <c r="F404" s="13">
        <f t="shared" si="284"/>
        <v>0</v>
      </c>
      <c r="G404" s="85"/>
      <c r="H404" s="84" t="str">
        <f t="shared" si="300"/>
        <v/>
      </c>
      <c r="I404" s="15" t="str">
        <f t="shared" si="301"/>
        <v/>
      </c>
      <c r="J404" s="26"/>
      <c r="K404" s="26"/>
      <c r="L404" s="7">
        <f t="shared" si="302"/>
        <v>0</v>
      </c>
      <c r="M404" s="24">
        <f t="shared" si="303"/>
        <v>0</v>
      </c>
      <c r="N404" s="12">
        <v>0</v>
      </c>
      <c r="O404" s="12">
        <v>0</v>
      </c>
      <c r="P404" s="12">
        <v>0</v>
      </c>
      <c r="Q404" s="16"/>
      <c r="R404" s="16"/>
    </row>
    <row r="405" spans="2:18" ht="40.200000000000003" customHeight="1" x14ac:dyDescent="0.4">
      <c r="B405" s="38"/>
      <c r="C405" s="3"/>
      <c r="D405" s="36"/>
      <c r="E405" s="41" t="s">
        <v>35</v>
      </c>
      <c r="F405" s="13">
        <f t="shared" si="284"/>
        <v>0</v>
      </c>
      <c r="G405" s="85"/>
      <c r="H405" s="84" t="str">
        <f t="shared" si="300"/>
        <v/>
      </c>
      <c r="I405" s="15" t="str">
        <f t="shared" si="301"/>
        <v/>
      </c>
      <c r="J405" s="26"/>
      <c r="K405" s="26"/>
      <c r="L405" s="7">
        <f t="shared" si="302"/>
        <v>0</v>
      </c>
      <c r="M405" s="24">
        <f t="shared" si="303"/>
        <v>0</v>
      </c>
      <c r="N405" s="12">
        <v>0</v>
      </c>
      <c r="O405" s="12">
        <v>0</v>
      </c>
      <c r="P405" s="12">
        <v>0</v>
      </c>
      <c r="Q405" s="16"/>
      <c r="R405" s="16"/>
    </row>
    <row r="406" spans="2:18" ht="40.200000000000003" customHeight="1" x14ac:dyDescent="0.4">
      <c r="B406" s="38"/>
      <c r="C406" s="3"/>
      <c r="D406" s="36"/>
      <c r="E406" s="41" t="s">
        <v>35</v>
      </c>
      <c r="F406" s="13">
        <f t="shared" si="284"/>
        <v>0</v>
      </c>
      <c r="G406" s="85"/>
      <c r="H406" s="85" t="str">
        <f t="shared" ref="H406:H409" si="304">IF(G406="","",(G406))</f>
        <v/>
      </c>
      <c r="I406" s="15" t="str">
        <f t="shared" ref="I406:I408" si="305">IF(H406="","",(H406+I405-J406))</f>
        <v/>
      </c>
      <c r="J406" s="26"/>
      <c r="K406" s="26"/>
      <c r="L406" s="7">
        <f t="shared" ref="L406:L409" si="306">C406</f>
        <v>0</v>
      </c>
      <c r="M406" s="24">
        <f t="shared" ref="M406:M409" si="307">G406</f>
        <v>0</v>
      </c>
      <c r="N406" s="12">
        <v>0</v>
      </c>
      <c r="O406" s="12">
        <v>0</v>
      </c>
      <c r="P406" s="12">
        <v>0</v>
      </c>
      <c r="Q406" s="16"/>
      <c r="R406" s="16"/>
    </row>
    <row r="407" spans="2:18" ht="40.200000000000003" customHeight="1" x14ac:dyDescent="0.4">
      <c r="B407" s="38"/>
      <c r="C407" s="3"/>
      <c r="D407" s="36"/>
      <c r="E407" s="41" t="s">
        <v>35</v>
      </c>
      <c r="F407" s="13">
        <f t="shared" si="284"/>
        <v>0</v>
      </c>
      <c r="G407" s="85"/>
      <c r="H407" s="84" t="str">
        <f t="shared" si="304"/>
        <v/>
      </c>
      <c r="I407" s="15" t="str">
        <f t="shared" si="305"/>
        <v/>
      </c>
      <c r="J407" s="26"/>
      <c r="K407" s="26"/>
      <c r="L407" s="7">
        <f t="shared" si="306"/>
        <v>0</v>
      </c>
      <c r="M407" s="24">
        <f t="shared" si="307"/>
        <v>0</v>
      </c>
      <c r="N407" s="12">
        <v>0</v>
      </c>
      <c r="O407" s="12">
        <v>0</v>
      </c>
      <c r="P407" s="12">
        <v>0</v>
      </c>
      <c r="Q407" s="16"/>
      <c r="R407" s="16"/>
    </row>
    <row r="408" spans="2:18" ht="40.200000000000003" customHeight="1" x14ac:dyDescent="0.4">
      <c r="B408" s="38"/>
      <c r="C408" s="3"/>
      <c r="D408" s="36"/>
      <c r="E408" s="41" t="s">
        <v>35</v>
      </c>
      <c r="F408" s="13">
        <f t="shared" si="284"/>
        <v>0</v>
      </c>
      <c r="G408" s="85"/>
      <c r="H408" s="85" t="str">
        <f t="shared" si="304"/>
        <v/>
      </c>
      <c r="I408" s="15" t="str">
        <f t="shared" si="305"/>
        <v/>
      </c>
      <c r="J408" s="26"/>
      <c r="K408" s="26"/>
      <c r="L408" s="7">
        <f t="shared" si="306"/>
        <v>0</v>
      </c>
      <c r="M408" s="24">
        <f t="shared" si="307"/>
        <v>0</v>
      </c>
      <c r="N408" s="12">
        <v>0</v>
      </c>
      <c r="O408" s="12">
        <v>0</v>
      </c>
      <c r="P408" s="12">
        <v>0</v>
      </c>
      <c r="Q408" s="16"/>
      <c r="R408" s="16"/>
    </row>
    <row r="409" spans="2:18" ht="40.200000000000003" customHeight="1" x14ac:dyDescent="0.4">
      <c r="B409" s="38"/>
      <c r="C409" s="3"/>
      <c r="D409" s="36"/>
      <c r="E409" s="41" t="s">
        <v>35</v>
      </c>
      <c r="F409" s="13">
        <f t="shared" si="284"/>
        <v>0</v>
      </c>
      <c r="G409" s="85"/>
      <c r="H409" s="84" t="str">
        <f t="shared" si="304"/>
        <v/>
      </c>
      <c r="I409" s="15" t="str">
        <f t="shared" ref="I409:I412" si="308">IF(H409="","",(H409+I408-J409))</f>
        <v/>
      </c>
      <c r="J409" s="26"/>
      <c r="K409" s="26"/>
      <c r="L409" s="7">
        <f t="shared" si="306"/>
        <v>0</v>
      </c>
      <c r="M409" s="24">
        <f t="shared" si="307"/>
        <v>0</v>
      </c>
      <c r="N409" s="12">
        <v>0</v>
      </c>
      <c r="O409" s="12">
        <v>0</v>
      </c>
      <c r="P409" s="12">
        <v>0</v>
      </c>
      <c r="Q409" s="16"/>
      <c r="R409" s="16"/>
    </row>
    <row r="410" spans="2:18" ht="40.200000000000003" customHeight="1" x14ac:dyDescent="0.4">
      <c r="B410" s="60"/>
      <c r="C410" s="3"/>
      <c r="D410" s="36"/>
      <c r="E410" s="44" t="s">
        <v>35</v>
      </c>
      <c r="F410" s="13">
        <f t="shared" si="284"/>
        <v>0</v>
      </c>
      <c r="G410" s="85"/>
      <c r="H410" s="85" t="str">
        <f t="shared" ref="H410:H419" si="309">IF(G410="","",(G410))</f>
        <v/>
      </c>
      <c r="I410" s="15" t="str">
        <f t="shared" si="308"/>
        <v/>
      </c>
      <c r="J410" s="26"/>
      <c r="K410" s="26"/>
      <c r="L410" s="7">
        <f t="shared" ref="L410:L412" si="310">C410</f>
        <v>0</v>
      </c>
      <c r="M410" s="24">
        <f t="shared" ref="M410:M412" si="311">G410</f>
        <v>0</v>
      </c>
      <c r="N410" s="12">
        <v>0</v>
      </c>
      <c r="O410" s="12">
        <v>0</v>
      </c>
      <c r="P410" s="12">
        <v>0</v>
      </c>
      <c r="Q410" s="16"/>
      <c r="R410" s="16"/>
    </row>
    <row r="411" spans="2:18" ht="40.200000000000003" customHeight="1" x14ac:dyDescent="0.4">
      <c r="B411" s="60"/>
      <c r="C411" s="3"/>
      <c r="D411" s="36"/>
      <c r="E411" s="44" t="s">
        <v>35</v>
      </c>
      <c r="F411" s="13">
        <f t="shared" si="284"/>
        <v>0</v>
      </c>
      <c r="G411" s="85"/>
      <c r="H411" s="84" t="str">
        <f t="shared" si="309"/>
        <v/>
      </c>
      <c r="I411" s="15" t="str">
        <f t="shared" si="308"/>
        <v/>
      </c>
      <c r="J411" s="26"/>
      <c r="K411" s="26"/>
      <c r="L411" s="7">
        <f t="shared" si="310"/>
        <v>0</v>
      </c>
      <c r="M411" s="24">
        <f t="shared" si="311"/>
        <v>0</v>
      </c>
      <c r="N411" s="12">
        <v>0</v>
      </c>
      <c r="O411" s="12">
        <v>0</v>
      </c>
      <c r="P411" s="12">
        <v>0</v>
      </c>
      <c r="Q411" s="16"/>
      <c r="R411" s="16"/>
    </row>
    <row r="412" spans="2:18" ht="40.200000000000003" customHeight="1" x14ac:dyDescent="0.4">
      <c r="B412" s="60"/>
      <c r="C412" s="3"/>
      <c r="D412" s="36"/>
      <c r="E412" s="44" t="s">
        <v>35</v>
      </c>
      <c r="F412" s="13">
        <f t="shared" si="284"/>
        <v>0</v>
      </c>
      <c r="G412" s="85"/>
      <c r="H412" s="84" t="str">
        <f t="shared" si="309"/>
        <v/>
      </c>
      <c r="I412" s="15" t="str">
        <f t="shared" si="308"/>
        <v/>
      </c>
      <c r="J412" s="26"/>
      <c r="K412" s="26"/>
      <c r="L412" s="7">
        <f t="shared" si="310"/>
        <v>0</v>
      </c>
      <c r="M412" s="24">
        <f t="shared" si="311"/>
        <v>0</v>
      </c>
      <c r="N412" s="12">
        <v>0</v>
      </c>
      <c r="O412" s="12">
        <v>0</v>
      </c>
      <c r="P412" s="12">
        <v>0</v>
      </c>
      <c r="Q412" s="16"/>
      <c r="R412" s="16"/>
    </row>
    <row r="413" spans="2:18" ht="40.200000000000003" customHeight="1" x14ac:dyDescent="0.4">
      <c r="B413" s="60"/>
      <c r="C413" s="3"/>
      <c r="D413" s="36"/>
      <c r="E413" s="57" t="s">
        <v>35</v>
      </c>
      <c r="F413" s="13">
        <f t="shared" si="284"/>
        <v>0</v>
      </c>
      <c r="G413" s="85"/>
      <c r="H413" s="84" t="str">
        <f t="shared" si="309"/>
        <v/>
      </c>
      <c r="I413" s="15" t="str">
        <f t="shared" ref="I413:I414" si="312">IF(H413="","",(H413+I412-J413))</f>
        <v/>
      </c>
      <c r="J413" s="26"/>
      <c r="K413" s="26"/>
      <c r="L413" s="7">
        <f t="shared" ref="L413:L418" si="313">C413</f>
        <v>0</v>
      </c>
      <c r="M413" s="24">
        <f t="shared" ref="M413:M418" si="314">G413</f>
        <v>0</v>
      </c>
      <c r="N413" s="12">
        <v>0</v>
      </c>
      <c r="O413" s="12">
        <v>0</v>
      </c>
      <c r="P413" s="12">
        <v>0</v>
      </c>
      <c r="Q413" s="16"/>
      <c r="R413" s="16"/>
    </row>
    <row r="414" spans="2:18" ht="40.200000000000003" customHeight="1" x14ac:dyDescent="0.4">
      <c r="B414" s="60"/>
      <c r="C414" s="3"/>
      <c r="D414" s="36"/>
      <c r="E414" s="57" t="s">
        <v>35</v>
      </c>
      <c r="F414" s="13">
        <f t="shared" si="284"/>
        <v>0</v>
      </c>
      <c r="G414" s="85"/>
      <c r="H414" s="84" t="str">
        <f t="shared" si="309"/>
        <v/>
      </c>
      <c r="I414" s="15" t="str">
        <f t="shared" si="312"/>
        <v/>
      </c>
      <c r="J414" s="26"/>
      <c r="K414" s="26"/>
      <c r="L414" s="7">
        <f t="shared" si="313"/>
        <v>0</v>
      </c>
      <c r="M414" s="24">
        <f t="shared" si="314"/>
        <v>0</v>
      </c>
      <c r="N414" s="12">
        <v>0</v>
      </c>
      <c r="O414" s="12">
        <v>0</v>
      </c>
      <c r="P414" s="12">
        <v>0</v>
      </c>
      <c r="Q414" s="16"/>
      <c r="R414" s="16"/>
    </row>
    <row r="415" spans="2:18" ht="40.200000000000003" customHeight="1" x14ac:dyDescent="0.4">
      <c r="B415" s="60"/>
      <c r="C415" s="3"/>
      <c r="D415" s="36"/>
      <c r="E415" s="57" t="s">
        <v>35</v>
      </c>
      <c r="F415" s="13">
        <f t="shared" si="284"/>
        <v>0</v>
      </c>
      <c r="G415" s="85"/>
      <c r="H415" s="84" t="str">
        <f t="shared" si="309"/>
        <v/>
      </c>
      <c r="I415" s="15" t="str">
        <f>IF(H415="","",(H415+I414-J415))</f>
        <v/>
      </c>
      <c r="J415" s="26"/>
      <c r="K415" s="26"/>
      <c r="L415" s="7">
        <f t="shared" si="313"/>
        <v>0</v>
      </c>
      <c r="M415" s="24">
        <f t="shared" si="314"/>
        <v>0</v>
      </c>
      <c r="N415" s="12">
        <v>0</v>
      </c>
      <c r="O415" s="12">
        <v>0</v>
      </c>
      <c r="P415" s="12">
        <v>0</v>
      </c>
      <c r="Q415" s="16"/>
      <c r="R415" s="16"/>
    </row>
    <row r="416" spans="2:18" ht="40.200000000000003" customHeight="1" x14ac:dyDescent="0.4">
      <c r="B416" s="60"/>
      <c r="C416" s="3"/>
      <c r="D416" s="36"/>
      <c r="E416" s="59" t="s">
        <v>35</v>
      </c>
      <c r="F416" s="13">
        <f t="shared" si="284"/>
        <v>0</v>
      </c>
      <c r="G416" s="85"/>
      <c r="H416" s="84" t="str">
        <f t="shared" si="309"/>
        <v/>
      </c>
      <c r="I416" s="15" t="str">
        <f>IF(H416="","",(H416+I415-J416))</f>
        <v/>
      </c>
      <c r="J416" s="26"/>
      <c r="K416" s="26"/>
      <c r="L416" s="7">
        <f t="shared" si="313"/>
        <v>0</v>
      </c>
      <c r="M416" s="24">
        <f t="shared" si="314"/>
        <v>0</v>
      </c>
      <c r="N416" s="12">
        <v>0</v>
      </c>
      <c r="O416" s="12">
        <v>0</v>
      </c>
      <c r="P416" s="12">
        <v>0</v>
      </c>
      <c r="Q416" s="16"/>
      <c r="R416" s="16"/>
    </row>
    <row r="417" spans="2:22" ht="40.200000000000003" customHeight="1" x14ac:dyDescent="0.4">
      <c r="B417" s="60"/>
      <c r="C417" s="3"/>
      <c r="D417" s="36"/>
      <c r="E417" s="59" t="s">
        <v>35</v>
      </c>
      <c r="F417" s="13">
        <f t="shared" si="284"/>
        <v>0</v>
      </c>
      <c r="G417" s="85"/>
      <c r="H417" s="84" t="str">
        <f t="shared" si="309"/>
        <v/>
      </c>
      <c r="I417" s="15" t="str">
        <f>IF(H417="","",(H417+I416-J417))</f>
        <v/>
      </c>
      <c r="J417" s="26"/>
      <c r="K417" s="26"/>
      <c r="L417" s="7">
        <f t="shared" si="313"/>
        <v>0</v>
      </c>
      <c r="M417" s="24">
        <f t="shared" si="314"/>
        <v>0</v>
      </c>
      <c r="N417" s="12">
        <v>0</v>
      </c>
      <c r="O417" s="12">
        <v>0</v>
      </c>
      <c r="P417" s="12">
        <v>0</v>
      </c>
      <c r="Q417" s="16"/>
      <c r="R417" s="16"/>
    </row>
    <row r="418" spans="2:22" ht="40.200000000000003" customHeight="1" x14ac:dyDescent="0.4">
      <c r="B418" s="60"/>
      <c r="C418" s="3"/>
      <c r="D418" s="36"/>
      <c r="E418" s="59" t="s">
        <v>35</v>
      </c>
      <c r="F418" s="13">
        <f t="shared" si="284"/>
        <v>0</v>
      </c>
      <c r="G418" s="85"/>
      <c r="H418" s="84" t="str">
        <f t="shared" si="309"/>
        <v/>
      </c>
      <c r="I418" s="15" t="str">
        <f>IF(H418="","",(H418+I417-J418))</f>
        <v/>
      </c>
      <c r="J418" s="26"/>
      <c r="K418" s="26"/>
      <c r="L418" s="7">
        <f t="shared" si="313"/>
        <v>0</v>
      </c>
      <c r="M418" s="24">
        <f t="shared" si="314"/>
        <v>0</v>
      </c>
      <c r="N418" s="12">
        <v>0</v>
      </c>
      <c r="O418" s="12">
        <v>0</v>
      </c>
      <c r="P418" s="12">
        <v>0</v>
      </c>
      <c r="Q418" s="16"/>
      <c r="R418" s="16"/>
    </row>
    <row r="419" spans="2:22" ht="40.200000000000003" customHeight="1" x14ac:dyDescent="0.4">
      <c r="B419" s="60"/>
      <c r="C419" s="3"/>
      <c r="D419" s="36"/>
      <c r="E419" s="59" t="s">
        <v>35</v>
      </c>
      <c r="F419" s="13">
        <f>G419</f>
        <v>0</v>
      </c>
      <c r="G419" s="85"/>
      <c r="H419" s="84" t="str">
        <f t="shared" si="309"/>
        <v/>
      </c>
      <c r="I419" s="15" t="str">
        <f t="shared" ref="I419:I422" si="315">IF(H419="","",(H419+I418-J419))</f>
        <v/>
      </c>
      <c r="J419" s="26"/>
      <c r="K419" s="26"/>
      <c r="L419" s="7">
        <f t="shared" ref="L419:L422" si="316">C419</f>
        <v>0</v>
      </c>
      <c r="M419" s="24">
        <f t="shared" ref="M419:M422" si="317">G419</f>
        <v>0</v>
      </c>
      <c r="N419" s="12">
        <v>0</v>
      </c>
      <c r="O419" s="12">
        <v>0</v>
      </c>
      <c r="P419" s="12">
        <v>0</v>
      </c>
      <c r="Q419" s="16"/>
      <c r="R419" s="16"/>
    </row>
    <row r="420" spans="2:22" ht="40.200000000000003" customHeight="1" x14ac:dyDescent="0.4">
      <c r="B420" s="60"/>
      <c r="C420" s="3"/>
      <c r="D420" s="36"/>
      <c r="E420" s="62" t="s">
        <v>35</v>
      </c>
      <c r="F420" s="13">
        <f t="shared" ref="F420:F422" si="318">G420</f>
        <v>0</v>
      </c>
      <c r="G420" s="85"/>
      <c r="H420" s="84" t="str">
        <f t="shared" ref="H420:H423" si="319">IF(G420="","",(G420))</f>
        <v/>
      </c>
      <c r="I420" s="15" t="str">
        <f t="shared" si="315"/>
        <v/>
      </c>
      <c r="J420" s="26"/>
      <c r="K420" s="26"/>
      <c r="L420" s="7">
        <f t="shared" si="316"/>
        <v>0</v>
      </c>
      <c r="M420" s="24">
        <f t="shared" si="317"/>
        <v>0</v>
      </c>
      <c r="N420" s="12">
        <v>0</v>
      </c>
      <c r="O420" s="12">
        <v>0</v>
      </c>
      <c r="P420" s="12">
        <v>0</v>
      </c>
      <c r="Q420" s="16"/>
      <c r="R420" s="16"/>
    </row>
    <row r="421" spans="2:22" ht="40.200000000000003" customHeight="1" x14ac:dyDescent="0.4">
      <c r="B421" s="60"/>
      <c r="C421" s="3"/>
      <c r="D421" s="36"/>
      <c r="E421" s="62" t="s">
        <v>35</v>
      </c>
      <c r="F421" s="13">
        <f t="shared" si="318"/>
        <v>0</v>
      </c>
      <c r="G421" s="85"/>
      <c r="H421" s="84" t="str">
        <f t="shared" si="319"/>
        <v/>
      </c>
      <c r="I421" s="15" t="str">
        <f t="shared" si="315"/>
        <v/>
      </c>
      <c r="J421" s="26"/>
      <c r="K421" s="26"/>
      <c r="L421" s="7">
        <f t="shared" si="316"/>
        <v>0</v>
      </c>
      <c r="M421" s="24">
        <f t="shared" si="317"/>
        <v>0</v>
      </c>
      <c r="N421" s="12">
        <v>0</v>
      </c>
      <c r="O421" s="12">
        <v>0</v>
      </c>
      <c r="P421" s="12">
        <v>0</v>
      </c>
      <c r="Q421" s="16"/>
      <c r="R421" s="16"/>
      <c r="V421" s="65"/>
    </row>
    <row r="422" spans="2:22" ht="40.200000000000003" customHeight="1" x14ac:dyDescent="0.4">
      <c r="B422" s="60"/>
      <c r="C422" s="3"/>
      <c r="D422" s="36"/>
      <c r="E422" s="62" t="s">
        <v>35</v>
      </c>
      <c r="F422" s="13">
        <f t="shared" si="318"/>
        <v>0</v>
      </c>
      <c r="G422" s="85"/>
      <c r="H422" s="84" t="str">
        <f t="shared" si="319"/>
        <v/>
      </c>
      <c r="I422" s="15" t="str">
        <f t="shared" si="315"/>
        <v/>
      </c>
      <c r="J422" s="26"/>
      <c r="K422" s="26"/>
      <c r="L422" s="7">
        <f t="shared" si="316"/>
        <v>0</v>
      </c>
      <c r="M422" s="24">
        <f t="shared" si="317"/>
        <v>0</v>
      </c>
      <c r="N422" s="12">
        <v>0</v>
      </c>
      <c r="O422" s="12">
        <v>0</v>
      </c>
      <c r="P422" s="12">
        <v>0</v>
      </c>
      <c r="Q422" s="16"/>
      <c r="R422" s="16"/>
    </row>
    <row r="423" spans="2:22" ht="40.200000000000003" customHeight="1" x14ac:dyDescent="0.4">
      <c r="B423" s="60"/>
      <c r="C423" s="3"/>
      <c r="D423" s="36"/>
      <c r="E423" s="62" t="s">
        <v>35</v>
      </c>
      <c r="F423" s="13">
        <f>G423</f>
        <v>0</v>
      </c>
      <c r="G423" s="85"/>
      <c r="H423" s="84" t="str">
        <f t="shared" si="319"/>
        <v/>
      </c>
      <c r="I423" s="15" t="str">
        <f>IF(H423="","",(H423+I422-J423))</f>
        <v/>
      </c>
      <c r="J423" s="26"/>
      <c r="K423" s="26"/>
      <c r="L423" s="7">
        <f t="shared" ref="L423:L426" si="320">C423</f>
        <v>0</v>
      </c>
      <c r="M423" s="24">
        <f t="shared" ref="M423:M426" si="321">G423</f>
        <v>0</v>
      </c>
      <c r="N423" s="12">
        <v>0</v>
      </c>
      <c r="O423" s="12">
        <v>0</v>
      </c>
      <c r="P423" s="12">
        <v>0</v>
      </c>
      <c r="Q423" s="16"/>
      <c r="R423" s="16"/>
    </row>
    <row r="424" spans="2:22" ht="40.200000000000003" customHeight="1" x14ac:dyDescent="0.4">
      <c r="B424" s="63"/>
      <c r="C424" s="3"/>
      <c r="D424" s="36"/>
      <c r="E424" s="64" t="s">
        <v>35</v>
      </c>
      <c r="F424" s="13">
        <f t="shared" ref="F424:F426" si="322">G424</f>
        <v>0</v>
      </c>
      <c r="G424" s="85"/>
      <c r="H424" s="84" t="str">
        <f t="shared" ref="H424:H427" si="323">IF(G424="","",(G424))</f>
        <v/>
      </c>
      <c r="I424" s="15" t="str">
        <f t="shared" ref="I424:I426" si="324">IF(H424="","",(H424+I423-J424))</f>
        <v/>
      </c>
      <c r="J424" s="26"/>
      <c r="K424" s="26"/>
      <c r="L424" s="7">
        <f t="shared" si="320"/>
        <v>0</v>
      </c>
      <c r="M424" s="24">
        <f t="shared" si="321"/>
        <v>0</v>
      </c>
      <c r="N424" s="12">
        <v>0</v>
      </c>
      <c r="O424" s="12">
        <v>0</v>
      </c>
      <c r="P424" s="12">
        <v>0</v>
      </c>
      <c r="Q424" s="16"/>
      <c r="R424" s="16"/>
    </row>
    <row r="425" spans="2:22" ht="40.200000000000003" customHeight="1" x14ac:dyDescent="0.4">
      <c r="B425" s="63"/>
      <c r="C425" s="3"/>
      <c r="D425" s="36"/>
      <c r="E425" s="64" t="s">
        <v>35</v>
      </c>
      <c r="F425" s="13">
        <f t="shared" si="322"/>
        <v>0</v>
      </c>
      <c r="G425" s="85"/>
      <c r="H425" s="84" t="str">
        <f t="shared" si="323"/>
        <v/>
      </c>
      <c r="I425" s="15" t="str">
        <f t="shared" si="324"/>
        <v/>
      </c>
      <c r="J425" s="26"/>
      <c r="K425" s="26"/>
      <c r="L425" s="7">
        <f t="shared" si="320"/>
        <v>0</v>
      </c>
      <c r="M425" s="24">
        <f t="shared" si="321"/>
        <v>0</v>
      </c>
      <c r="N425" s="12">
        <v>0</v>
      </c>
      <c r="O425" s="12">
        <v>0</v>
      </c>
      <c r="P425" s="12">
        <v>0</v>
      </c>
      <c r="Q425" s="16"/>
      <c r="R425" s="16"/>
      <c r="V425" s="65"/>
    </row>
    <row r="426" spans="2:22" ht="40.200000000000003" customHeight="1" x14ac:dyDescent="0.4">
      <c r="B426" s="63"/>
      <c r="C426" s="3"/>
      <c r="D426" s="36"/>
      <c r="E426" s="64" t="s">
        <v>35</v>
      </c>
      <c r="F426" s="13">
        <f t="shared" si="322"/>
        <v>0</v>
      </c>
      <c r="G426" s="85"/>
      <c r="H426" s="84" t="str">
        <f t="shared" si="323"/>
        <v/>
      </c>
      <c r="I426" s="15" t="str">
        <f t="shared" si="324"/>
        <v/>
      </c>
      <c r="J426" s="26"/>
      <c r="K426" s="26"/>
      <c r="L426" s="7">
        <f t="shared" si="320"/>
        <v>0</v>
      </c>
      <c r="M426" s="24">
        <f t="shared" si="321"/>
        <v>0</v>
      </c>
      <c r="N426" s="12">
        <v>0</v>
      </c>
      <c r="O426" s="12">
        <v>0</v>
      </c>
      <c r="P426" s="12">
        <v>0</v>
      </c>
      <c r="Q426" s="16"/>
      <c r="R426" s="16"/>
    </row>
    <row r="427" spans="2:22" ht="40.200000000000003" customHeight="1" x14ac:dyDescent="0.4">
      <c r="B427" s="63"/>
      <c r="C427" s="3"/>
      <c r="D427" s="36"/>
      <c r="E427" s="64" t="s">
        <v>35</v>
      </c>
      <c r="F427" s="13">
        <f>G427</f>
        <v>0</v>
      </c>
      <c r="G427" s="85"/>
      <c r="H427" s="84" t="str">
        <f t="shared" si="323"/>
        <v/>
      </c>
      <c r="I427" s="15" t="str">
        <f>IF(H427="","",(H427+I426-J427))</f>
        <v/>
      </c>
      <c r="J427" s="26"/>
      <c r="K427" s="26"/>
      <c r="L427" s="7">
        <f t="shared" ref="L427:L430" si="325">C427</f>
        <v>0</v>
      </c>
      <c r="M427" s="24">
        <f t="shared" ref="M427:M430" si="326">G427</f>
        <v>0</v>
      </c>
      <c r="N427" s="12">
        <v>0</v>
      </c>
      <c r="O427" s="12">
        <v>0</v>
      </c>
      <c r="P427" s="12">
        <v>0</v>
      </c>
      <c r="Q427" s="16"/>
      <c r="R427" s="16"/>
    </row>
    <row r="428" spans="2:22" ht="40.200000000000003" customHeight="1" x14ac:dyDescent="0.4">
      <c r="B428" s="68"/>
      <c r="C428" s="3"/>
      <c r="D428" s="36"/>
      <c r="E428" s="67" t="s">
        <v>35</v>
      </c>
      <c r="F428" s="13">
        <f t="shared" ref="F428:F430" si="327">G428</f>
        <v>0</v>
      </c>
      <c r="G428" s="85"/>
      <c r="H428" s="84" t="str">
        <f t="shared" ref="H428:H431" si="328">IF(G428="","",(G428))</f>
        <v/>
      </c>
      <c r="I428" s="15" t="str">
        <f t="shared" ref="I428:I430" si="329">IF(H428="","",(H428+I427-J428))</f>
        <v/>
      </c>
      <c r="J428" s="26"/>
      <c r="K428" s="26"/>
      <c r="L428" s="7">
        <f t="shared" si="325"/>
        <v>0</v>
      </c>
      <c r="M428" s="24">
        <f t="shared" si="326"/>
        <v>0</v>
      </c>
      <c r="N428" s="12">
        <v>0</v>
      </c>
      <c r="O428" s="12">
        <v>0</v>
      </c>
      <c r="P428" s="12">
        <v>0</v>
      </c>
      <c r="Q428" s="16"/>
      <c r="R428" s="16"/>
    </row>
    <row r="429" spans="2:22" ht="40.200000000000003" customHeight="1" x14ac:dyDescent="0.4">
      <c r="B429" s="68"/>
      <c r="C429" s="3"/>
      <c r="D429" s="36"/>
      <c r="E429" s="67" t="s">
        <v>35</v>
      </c>
      <c r="F429" s="13">
        <f t="shared" si="327"/>
        <v>0</v>
      </c>
      <c r="G429" s="85"/>
      <c r="H429" s="84" t="str">
        <f t="shared" si="328"/>
        <v/>
      </c>
      <c r="I429" s="15" t="str">
        <f t="shared" si="329"/>
        <v/>
      </c>
      <c r="J429" s="26"/>
      <c r="K429" s="26"/>
      <c r="L429" s="7">
        <f t="shared" si="325"/>
        <v>0</v>
      </c>
      <c r="M429" s="24">
        <f t="shared" si="326"/>
        <v>0</v>
      </c>
      <c r="N429" s="12">
        <v>0</v>
      </c>
      <c r="O429" s="12">
        <v>0</v>
      </c>
      <c r="P429" s="12">
        <v>0</v>
      </c>
      <c r="Q429" s="16"/>
      <c r="R429" s="16"/>
      <c r="V429" s="65"/>
    </row>
    <row r="430" spans="2:22" ht="40.200000000000003" customHeight="1" x14ac:dyDescent="0.4">
      <c r="B430" s="68"/>
      <c r="C430" s="3"/>
      <c r="D430" s="36"/>
      <c r="E430" s="67" t="s">
        <v>35</v>
      </c>
      <c r="F430" s="13">
        <f t="shared" si="327"/>
        <v>0</v>
      </c>
      <c r="G430" s="85"/>
      <c r="H430" s="84" t="str">
        <f t="shared" si="328"/>
        <v/>
      </c>
      <c r="I430" s="15" t="str">
        <f t="shared" si="329"/>
        <v/>
      </c>
      <c r="J430" s="26"/>
      <c r="K430" s="26"/>
      <c r="L430" s="7">
        <f t="shared" si="325"/>
        <v>0</v>
      </c>
      <c r="M430" s="24">
        <f t="shared" si="326"/>
        <v>0</v>
      </c>
      <c r="N430" s="12">
        <v>0</v>
      </c>
      <c r="O430" s="12">
        <v>0</v>
      </c>
      <c r="P430" s="12">
        <v>0</v>
      </c>
      <c r="Q430" s="16"/>
      <c r="R430" s="16"/>
    </row>
    <row r="431" spans="2:22" ht="40.200000000000003" customHeight="1" x14ac:dyDescent="0.4">
      <c r="B431" s="68"/>
      <c r="C431" s="3"/>
      <c r="D431" s="36"/>
      <c r="E431" s="67" t="s">
        <v>35</v>
      </c>
      <c r="F431" s="13">
        <f>G431</f>
        <v>0</v>
      </c>
      <c r="G431" s="85"/>
      <c r="H431" s="84" t="str">
        <f t="shared" si="328"/>
        <v/>
      </c>
      <c r="I431" s="15" t="str">
        <f>IF(H431="","",(H431+I430-J431))</f>
        <v/>
      </c>
      <c r="J431" s="26"/>
      <c r="K431" s="26"/>
      <c r="L431" s="7">
        <f t="shared" ref="L431" si="330">C431</f>
        <v>0</v>
      </c>
      <c r="M431" s="24">
        <f t="shared" ref="M431" si="331">G431</f>
        <v>0</v>
      </c>
      <c r="N431" s="12">
        <v>0</v>
      </c>
      <c r="O431" s="12">
        <v>0</v>
      </c>
      <c r="P431" s="12">
        <v>0</v>
      </c>
      <c r="Q431" s="16"/>
      <c r="R431" s="16"/>
    </row>
    <row r="432" spans="2:22" ht="40.200000000000003" customHeight="1" x14ac:dyDescent="0.4">
      <c r="B432" s="68"/>
      <c r="C432" s="3"/>
      <c r="D432" s="36"/>
      <c r="E432" s="67" t="s">
        <v>35</v>
      </c>
      <c r="F432" s="13">
        <f>G432</f>
        <v>0</v>
      </c>
      <c r="G432" s="85"/>
      <c r="H432" s="84" t="str">
        <f t="shared" ref="H432:H436" si="332">IF(G432="","",(G432))</f>
        <v/>
      </c>
      <c r="I432" s="15" t="str">
        <f>IF(H432="","",(H432+I431-J432))</f>
        <v/>
      </c>
      <c r="J432" s="26"/>
      <c r="K432" s="26"/>
      <c r="L432" s="7">
        <f t="shared" ref="L432:L436" si="333">C432</f>
        <v>0</v>
      </c>
      <c r="M432" s="24">
        <f t="shared" ref="M432:M436" si="334">G432</f>
        <v>0</v>
      </c>
      <c r="N432" s="12">
        <v>0</v>
      </c>
      <c r="O432" s="12">
        <v>0</v>
      </c>
      <c r="P432" s="12">
        <v>0</v>
      </c>
      <c r="Q432" s="16"/>
      <c r="R432" s="16"/>
    </row>
    <row r="433" spans="2:22" ht="40.200000000000003" customHeight="1" x14ac:dyDescent="0.4">
      <c r="B433" s="71"/>
      <c r="C433" s="3"/>
      <c r="D433" s="36"/>
      <c r="E433" s="70" t="s">
        <v>35</v>
      </c>
      <c r="F433" s="13">
        <f t="shared" ref="F433:F435" si="335">G433</f>
        <v>0</v>
      </c>
      <c r="G433" s="85"/>
      <c r="H433" s="84" t="str">
        <f t="shared" si="332"/>
        <v/>
      </c>
      <c r="I433" s="15" t="str">
        <f t="shared" ref="I433:I435" si="336">IF(H433="","",(H433+I432-J433))</f>
        <v/>
      </c>
      <c r="J433" s="26"/>
      <c r="K433" s="26"/>
      <c r="L433" s="7">
        <f t="shared" si="333"/>
        <v>0</v>
      </c>
      <c r="M433" s="24">
        <f t="shared" si="334"/>
        <v>0</v>
      </c>
      <c r="N433" s="12">
        <v>0</v>
      </c>
      <c r="O433" s="12">
        <v>0</v>
      </c>
      <c r="P433" s="12">
        <v>0</v>
      </c>
      <c r="Q433" s="16"/>
      <c r="R433" s="16"/>
    </row>
    <row r="434" spans="2:22" ht="40.200000000000003" customHeight="1" x14ac:dyDescent="0.4">
      <c r="B434" s="71"/>
      <c r="C434" s="3"/>
      <c r="D434" s="36"/>
      <c r="E434" s="70" t="s">
        <v>35</v>
      </c>
      <c r="F434" s="13">
        <f t="shared" si="335"/>
        <v>0</v>
      </c>
      <c r="G434" s="85"/>
      <c r="H434" s="84" t="str">
        <f t="shared" si="332"/>
        <v/>
      </c>
      <c r="I434" s="15" t="str">
        <f t="shared" si="336"/>
        <v/>
      </c>
      <c r="J434" s="26"/>
      <c r="K434" s="26"/>
      <c r="L434" s="7">
        <f t="shared" si="333"/>
        <v>0</v>
      </c>
      <c r="M434" s="24">
        <f t="shared" si="334"/>
        <v>0</v>
      </c>
      <c r="N434" s="12">
        <v>0</v>
      </c>
      <c r="O434" s="12">
        <v>0</v>
      </c>
      <c r="P434" s="12">
        <v>0</v>
      </c>
      <c r="Q434" s="16"/>
      <c r="R434" s="16"/>
      <c r="V434" s="65"/>
    </row>
    <row r="435" spans="2:22" ht="40.200000000000003" customHeight="1" x14ac:dyDescent="0.4">
      <c r="B435" s="71"/>
      <c r="C435" s="3"/>
      <c r="D435" s="36"/>
      <c r="E435" s="70" t="s">
        <v>35</v>
      </c>
      <c r="F435" s="13">
        <f t="shared" si="335"/>
        <v>0</v>
      </c>
      <c r="G435" s="85"/>
      <c r="H435" s="84" t="str">
        <f t="shared" si="332"/>
        <v/>
      </c>
      <c r="I435" s="15" t="str">
        <f t="shared" si="336"/>
        <v/>
      </c>
      <c r="J435" s="26"/>
      <c r="K435" s="26"/>
      <c r="L435" s="7">
        <f t="shared" si="333"/>
        <v>0</v>
      </c>
      <c r="M435" s="24">
        <f t="shared" si="334"/>
        <v>0</v>
      </c>
      <c r="N435" s="12">
        <v>0</v>
      </c>
      <c r="O435" s="12">
        <v>0</v>
      </c>
      <c r="P435" s="12">
        <v>0</v>
      </c>
      <c r="Q435" s="16"/>
      <c r="R435" s="16"/>
    </row>
    <row r="436" spans="2:22" ht="40.200000000000003" customHeight="1" x14ac:dyDescent="0.4">
      <c r="B436" s="71"/>
      <c r="C436" s="3"/>
      <c r="D436" s="36"/>
      <c r="E436" s="70" t="s">
        <v>35</v>
      </c>
      <c r="F436" s="13">
        <f>G436</f>
        <v>0</v>
      </c>
      <c r="G436" s="85"/>
      <c r="H436" s="84" t="str">
        <f t="shared" si="332"/>
        <v/>
      </c>
      <c r="I436" s="15" t="str">
        <f>IF(H436="","",(H436+I435-J436))</f>
        <v/>
      </c>
      <c r="J436" s="26"/>
      <c r="K436" s="26"/>
      <c r="L436" s="7">
        <f t="shared" si="333"/>
        <v>0</v>
      </c>
      <c r="M436" s="24">
        <f t="shared" si="334"/>
        <v>0</v>
      </c>
      <c r="N436" s="12">
        <v>0</v>
      </c>
      <c r="O436" s="12">
        <v>0</v>
      </c>
      <c r="P436" s="12">
        <v>0</v>
      </c>
      <c r="Q436" s="16"/>
      <c r="R436" s="16"/>
    </row>
    <row r="437" spans="2:22" ht="40.200000000000003" customHeight="1" x14ac:dyDescent="0.4">
      <c r="B437" s="71"/>
      <c r="C437" s="3"/>
      <c r="D437" s="36"/>
      <c r="E437" s="70" t="s">
        <v>35</v>
      </c>
      <c r="F437" s="13">
        <f>G437</f>
        <v>0</v>
      </c>
      <c r="G437" s="85"/>
      <c r="H437" s="84" t="str">
        <f t="shared" ref="H437" si="337">IF(G437="","",(G437))</f>
        <v/>
      </c>
      <c r="I437" s="15" t="str">
        <f>IF(H437="","",(H437+I436-J437))</f>
        <v/>
      </c>
      <c r="J437" s="26"/>
      <c r="K437" s="26"/>
      <c r="L437" s="7">
        <f t="shared" ref="L437" si="338">C437</f>
        <v>0</v>
      </c>
      <c r="M437" s="24">
        <f t="shared" ref="M437" si="339">G437</f>
        <v>0</v>
      </c>
      <c r="N437" s="12">
        <v>0</v>
      </c>
      <c r="O437" s="12">
        <v>0</v>
      </c>
      <c r="P437" s="12">
        <v>0</v>
      </c>
      <c r="Q437" s="16"/>
      <c r="R437" s="16"/>
    </row>
    <row r="438" spans="2:22" ht="40.200000000000003" customHeight="1" x14ac:dyDescent="0.4">
      <c r="B438" s="71"/>
      <c r="C438" s="3"/>
      <c r="D438" s="11"/>
      <c r="E438" s="73" t="s">
        <v>35</v>
      </c>
      <c r="F438" s="13">
        <f t="shared" ref="F438:F449" si="340">G438</f>
        <v>0</v>
      </c>
      <c r="G438" s="85"/>
      <c r="H438" s="84" t="str">
        <f t="shared" ref="H438:H441" si="341">IF(G438="","",(G438))</f>
        <v/>
      </c>
      <c r="I438" s="15" t="str">
        <f t="shared" ref="I438:I441" si="342">IF(H438="","",(H438+I437-J438))</f>
        <v/>
      </c>
      <c r="J438" s="26"/>
      <c r="K438" s="26"/>
      <c r="L438" s="7">
        <f t="shared" ref="L438:L441" si="343">C438</f>
        <v>0</v>
      </c>
      <c r="M438" s="24">
        <f t="shared" ref="M438:M441" si="344">G438</f>
        <v>0</v>
      </c>
      <c r="N438" s="12">
        <v>0</v>
      </c>
      <c r="O438" s="12">
        <v>0</v>
      </c>
      <c r="P438" s="12">
        <v>0</v>
      </c>
      <c r="Q438" s="16"/>
      <c r="R438" s="16"/>
    </row>
    <row r="439" spans="2:22" ht="40.200000000000003" customHeight="1" x14ac:dyDescent="0.4">
      <c r="B439" s="71"/>
      <c r="C439" s="3"/>
      <c r="D439" s="11"/>
      <c r="E439" s="73" t="s">
        <v>35</v>
      </c>
      <c r="F439" s="13">
        <f t="shared" si="340"/>
        <v>0</v>
      </c>
      <c r="G439" s="85"/>
      <c r="H439" s="84" t="str">
        <f t="shared" si="341"/>
        <v/>
      </c>
      <c r="I439" s="15" t="str">
        <f t="shared" si="342"/>
        <v/>
      </c>
      <c r="J439" s="26"/>
      <c r="K439" s="26"/>
      <c r="L439" s="7">
        <f t="shared" si="343"/>
        <v>0</v>
      </c>
      <c r="M439" s="24">
        <f t="shared" si="344"/>
        <v>0</v>
      </c>
      <c r="N439" s="12">
        <v>0</v>
      </c>
      <c r="O439" s="12">
        <v>0</v>
      </c>
      <c r="P439" s="12">
        <v>0</v>
      </c>
      <c r="Q439" s="16"/>
      <c r="R439" s="16"/>
    </row>
    <row r="440" spans="2:22" ht="40.200000000000003" customHeight="1" x14ac:dyDescent="0.4">
      <c r="B440" s="71"/>
      <c r="C440" s="3"/>
      <c r="D440" s="11"/>
      <c r="E440" s="73" t="s">
        <v>35</v>
      </c>
      <c r="F440" s="13">
        <f t="shared" si="340"/>
        <v>0</v>
      </c>
      <c r="G440" s="85"/>
      <c r="H440" s="84" t="str">
        <f t="shared" si="341"/>
        <v/>
      </c>
      <c r="I440" s="15" t="str">
        <f t="shared" si="342"/>
        <v/>
      </c>
      <c r="J440" s="26"/>
      <c r="K440" s="26"/>
      <c r="L440" s="7">
        <f t="shared" si="343"/>
        <v>0</v>
      </c>
      <c r="M440" s="24">
        <f t="shared" si="344"/>
        <v>0</v>
      </c>
      <c r="N440" s="12">
        <v>0</v>
      </c>
      <c r="O440" s="12">
        <v>0</v>
      </c>
      <c r="P440" s="12">
        <v>0</v>
      </c>
      <c r="Q440" s="16"/>
      <c r="R440" s="16"/>
    </row>
    <row r="441" spans="2:22" ht="40.200000000000003" customHeight="1" x14ac:dyDescent="0.4">
      <c r="B441" s="71"/>
      <c r="C441" s="3"/>
      <c r="D441" s="11"/>
      <c r="E441" s="73" t="s">
        <v>35</v>
      </c>
      <c r="F441" s="13">
        <f t="shared" si="340"/>
        <v>0</v>
      </c>
      <c r="G441" s="85"/>
      <c r="H441" s="84" t="str">
        <f t="shared" si="341"/>
        <v/>
      </c>
      <c r="I441" s="15" t="str">
        <f t="shared" si="342"/>
        <v/>
      </c>
      <c r="J441" s="26"/>
      <c r="K441" s="26"/>
      <c r="L441" s="7">
        <f t="shared" si="343"/>
        <v>0</v>
      </c>
      <c r="M441" s="24">
        <f t="shared" si="344"/>
        <v>0</v>
      </c>
      <c r="N441" s="12">
        <v>0</v>
      </c>
      <c r="O441" s="12">
        <v>0</v>
      </c>
      <c r="P441" s="12">
        <v>0</v>
      </c>
      <c r="Q441" s="16"/>
      <c r="R441" s="16"/>
    </row>
    <row r="442" spans="2:22" ht="40.200000000000003" customHeight="1" x14ac:dyDescent="0.4">
      <c r="B442" s="71"/>
      <c r="C442" s="3"/>
      <c r="D442" s="11"/>
      <c r="E442" s="73" t="s">
        <v>35</v>
      </c>
      <c r="F442" s="13">
        <f t="shared" si="340"/>
        <v>0</v>
      </c>
      <c r="G442" s="85"/>
      <c r="H442" s="84" t="str">
        <f t="shared" ref="H442:H449" si="345">IF(G442="","",(G442))</f>
        <v/>
      </c>
      <c r="I442" s="15" t="str">
        <f t="shared" ref="I442:I449" si="346">IF(H442="","",(H442+I441-J442))</f>
        <v/>
      </c>
      <c r="J442" s="26"/>
      <c r="K442" s="26"/>
      <c r="L442" s="7">
        <f t="shared" ref="L442:L449" si="347">C442</f>
        <v>0</v>
      </c>
      <c r="M442" s="24">
        <f t="shared" ref="M442:M449" si="348">G442</f>
        <v>0</v>
      </c>
      <c r="N442" s="12">
        <v>0</v>
      </c>
      <c r="O442" s="12">
        <v>0</v>
      </c>
      <c r="P442" s="12">
        <v>0</v>
      </c>
      <c r="Q442" s="16"/>
      <c r="R442" s="16"/>
    </row>
    <row r="443" spans="2:22" ht="40.200000000000003" customHeight="1" x14ac:dyDescent="0.4">
      <c r="B443" s="71"/>
      <c r="C443" s="3"/>
      <c r="D443" s="11"/>
      <c r="E443" s="73" t="s">
        <v>35</v>
      </c>
      <c r="F443" s="13">
        <f t="shared" si="340"/>
        <v>0</v>
      </c>
      <c r="G443" s="85"/>
      <c r="H443" s="84" t="str">
        <f t="shared" si="345"/>
        <v/>
      </c>
      <c r="I443" s="15" t="str">
        <f t="shared" si="346"/>
        <v/>
      </c>
      <c r="J443" s="26"/>
      <c r="K443" s="26"/>
      <c r="L443" s="7">
        <f t="shared" si="347"/>
        <v>0</v>
      </c>
      <c r="M443" s="24">
        <f t="shared" si="348"/>
        <v>0</v>
      </c>
      <c r="N443" s="12">
        <v>0</v>
      </c>
      <c r="O443" s="12">
        <v>0</v>
      </c>
      <c r="P443" s="12">
        <v>0</v>
      </c>
      <c r="Q443" s="16"/>
      <c r="R443" s="16"/>
    </row>
    <row r="444" spans="2:22" ht="40.200000000000003" customHeight="1" x14ac:dyDescent="0.4">
      <c r="B444" s="71"/>
      <c r="C444" s="3"/>
      <c r="D444" s="11"/>
      <c r="E444" s="73" t="s">
        <v>35</v>
      </c>
      <c r="F444" s="13">
        <f t="shared" si="340"/>
        <v>0</v>
      </c>
      <c r="G444" s="85"/>
      <c r="H444" s="84" t="str">
        <f t="shared" si="345"/>
        <v/>
      </c>
      <c r="I444" s="15" t="str">
        <f t="shared" si="346"/>
        <v/>
      </c>
      <c r="J444" s="26"/>
      <c r="K444" s="26"/>
      <c r="L444" s="7">
        <f t="shared" si="347"/>
        <v>0</v>
      </c>
      <c r="M444" s="24">
        <f t="shared" si="348"/>
        <v>0</v>
      </c>
      <c r="N444" s="12">
        <v>0</v>
      </c>
      <c r="O444" s="12">
        <v>0</v>
      </c>
      <c r="P444" s="12">
        <v>0</v>
      </c>
      <c r="Q444" s="16"/>
      <c r="R444" s="16"/>
    </row>
    <row r="445" spans="2:22" ht="40.200000000000003" customHeight="1" x14ac:dyDescent="0.4">
      <c r="B445" s="71"/>
      <c r="C445" s="3"/>
      <c r="D445" s="36"/>
      <c r="E445" s="73" t="s">
        <v>35</v>
      </c>
      <c r="F445" s="13">
        <f t="shared" si="340"/>
        <v>0</v>
      </c>
      <c r="G445" s="85"/>
      <c r="H445" s="84" t="str">
        <f t="shared" si="345"/>
        <v/>
      </c>
      <c r="I445" s="15" t="str">
        <f t="shared" si="346"/>
        <v/>
      </c>
      <c r="J445" s="26"/>
      <c r="K445" s="26"/>
      <c r="L445" s="7">
        <f t="shared" si="347"/>
        <v>0</v>
      </c>
      <c r="M445" s="24">
        <f t="shared" si="348"/>
        <v>0</v>
      </c>
      <c r="N445" s="12">
        <v>0</v>
      </c>
      <c r="O445" s="12">
        <v>0</v>
      </c>
      <c r="P445" s="12">
        <v>0</v>
      </c>
      <c r="Q445" s="16"/>
      <c r="R445" s="16"/>
    </row>
    <row r="446" spans="2:22" ht="40.200000000000003" customHeight="1" x14ac:dyDescent="0.4">
      <c r="B446" s="71"/>
      <c r="C446" s="3"/>
      <c r="D446" s="11"/>
      <c r="E446" s="73" t="s">
        <v>35</v>
      </c>
      <c r="F446" s="13">
        <f t="shared" si="340"/>
        <v>0</v>
      </c>
      <c r="G446" s="85"/>
      <c r="H446" s="84" t="str">
        <f t="shared" si="345"/>
        <v/>
      </c>
      <c r="I446" s="15" t="str">
        <f t="shared" si="346"/>
        <v/>
      </c>
      <c r="J446" s="26"/>
      <c r="K446" s="26"/>
      <c r="L446" s="7">
        <f t="shared" si="347"/>
        <v>0</v>
      </c>
      <c r="M446" s="24">
        <f t="shared" si="348"/>
        <v>0</v>
      </c>
      <c r="N446" s="12">
        <v>0</v>
      </c>
      <c r="O446" s="12">
        <v>0</v>
      </c>
      <c r="P446" s="12">
        <v>0</v>
      </c>
      <c r="Q446" s="16"/>
      <c r="R446" s="16"/>
    </row>
    <row r="447" spans="2:22" ht="40.200000000000003" customHeight="1" x14ac:dyDescent="0.4">
      <c r="B447" s="74"/>
      <c r="C447" s="3"/>
      <c r="D447" s="11"/>
      <c r="E447" s="75" t="s">
        <v>35</v>
      </c>
      <c r="F447" s="13">
        <f t="shared" si="340"/>
        <v>0</v>
      </c>
      <c r="G447" s="85"/>
      <c r="H447" s="84" t="str">
        <f t="shared" si="345"/>
        <v/>
      </c>
      <c r="I447" s="15" t="str">
        <f t="shared" si="346"/>
        <v/>
      </c>
      <c r="J447" s="26"/>
      <c r="K447" s="26"/>
      <c r="L447" s="7">
        <f t="shared" si="347"/>
        <v>0</v>
      </c>
      <c r="M447" s="24">
        <f t="shared" si="348"/>
        <v>0</v>
      </c>
      <c r="N447" s="12">
        <v>0</v>
      </c>
      <c r="O447" s="12">
        <v>0</v>
      </c>
      <c r="P447" s="12">
        <v>0</v>
      </c>
      <c r="Q447" s="16"/>
      <c r="R447" s="16"/>
    </row>
    <row r="448" spans="2:22" ht="40.200000000000003" customHeight="1" x14ac:dyDescent="0.4">
      <c r="B448" s="74"/>
      <c r="C448" s="3"/>
      <c r="D448" s="11"/>
      <c r="E448" s="75" t="s">
        <v>35</v>
      </c>
      <c r="F448" s="13">
        <f t="shared" si="340"/>
        <v>0</v>
      </c>
      <c r="G448" s="85"/>
      <c r="H448" s="84" t="str">
        <f t="shared" si="345"/>
        <v/>
      </c>
      <c r="I448" s="15" t="str">
        <f t="shared" si="346"/>
        <v/>
      </c>
      <c r="J448" s="26"/>
      <c r="K448" s="26"/>
      <c r="L448" s="7">
        <f t="shared" si="347"/>
        <v>0</v>
      </c>
      <c r="M448" s="24">
        <f t="shared" si="348"/>
        <v>0</v>
      </c>
      <c r="N448" s="12">
        <v>0</v>
      </c>
      <c r="O448" s="12">
        <v>0</v>
      </c>
      <c r="P448" s="12">
        <v>0</v>
      </c>
      <c r="Q448" s="16"/>
      <c r="R448" s="16"/>
    </row>
    <row r="449" spans="2:18" ht="40.200000000000003" customHeight="1" x14ac:dyDescent="0.4">
      <c r="B449" s="74"/>
      <c r="C449" s="3"/>
      <c r="D449" s="11"/>
      <c r="E449" s="75" t="s">
        <v>35</v>
      </c>
      <c r="F449" s="13">
        <f t="shared" si="340"/>
        <v>0</v>
      </c>
      <c r="G449" s="85"/>
      <c r="H449" s="84" t="str">
        <f t="shared" si="345"/>
        <v/>
      </c>
      <c r="I449" s="15" t="str">
        <f t="shared" si="346"/>
        <v/>
      </c>
      <c r="J449" s="26"/>
      <c r="K449" s="26"/>
      <c r="L449" s="7">
        <f t="shared" si="347"/>
        <v>0</v>
      </c>
      <c r="M449" s="24">
        <f t="shared" si="348"/>
        <v>0</v>
      </c>
      <c r="N449" s="12">
        <v>0</v>
      </c>
      <c r="O449" s="12">
        <v>0</v>
      </c>
      <c r="P449" s="12">
        <v>0</v>
      </c>
      <c r="Q449" s="16"/>
      <c r="R449" s="16"/>
    </row>
    <row r="450" spans="2:18" ht="40.200000000000003" customHeight="1" x14ac:dyDescent="0.4">
      <c r="B450" s="86"/>
      <c r="C450" s="3"/>
      <c r="D450" s="11"/>
      <c r="E450" s="88" t="s">
        <v>35</v>
      </c>
      <c r="F450" s="13">
        <f t="shared" ref="F450:F454" si="349">G450</f>
        <v>0</v>
      </c>
      <c r="G450" s="85"/>
      <c r="H450" s="84" t="str">
        <f t="shared" ref="H450:H454" si="350">IF(G450="","",(G450))</f>
        <v/>
      </c>
      <c r="I450" s="15" t="str">
        <f t="shared" ref="I450:I454" si="351">IF(H450="","",(H450+I449-J450))</f>
        <v/>
      </c>
      <c r="J450" s="26"/>
      <c r="K450" s="26"/>
      <c r="L450" s="7">
        <f t="shared" ref="L450:L454" si="352">C450</f>
        <v>0</v>
      </c>
      <c r="M450" s="24">
        <f t="shared" ref="M450:M454" si="353">G450</f>
        <v>0</v>
      </c>
      <c r="N450" s="12">
        <v>0</v>
      </c>
      <c r="O450" s="12">
        <v>0</v>
      </c>
      <c r="P450" s="12">
        <v>0</v>
      </c>
      <c r="Q450" s="16"/>
      <c r="R450" s="16"/>
    </row>
    <row r="451" spans="2:18" ht="40.200000000000003" customHeight="1" x14ac:dyDescent="0.4">
      <c r="B451" s="86"/>
      <c r="C451" s="3"/>
      <c r="D451" s="11"/>
      <c r="E451" s="88" t="s">
        <v>35</v>
      </c>
      <c r="F451" s="13">
        <f t="shared" si="349"/>
        <v>0</v>
      </c>
      <c r="G451" s="85"/>
      <c r="H451" s="84" t="str">
        <f t="shared" si="350"/>
        <v/>
      </c>
      <c r="I451" s="15" t="str">
        <f t="shared" si="351"/>
        <v/>
      </c>
      <c r="J451" s="26"/>
      <c r="K451" s="26"/>
      <c r="L451" s="7">
        <f t="shared" si="352"/>
        <v>0</v>
      </c>
      <c r="M451" s="24">
        <f t="shared" si="353"/>
        <v>0</v>
      </c>
      <c r="N451" s="12">
        <v>0</v>
      </c>
      <c r="O451" s="12">
        <v>0</v>
      </c>
      <c r="P451" s="12">
        <v>0</v>
      </c>
      <c r="Q451" s="16"/>
      <c r="R451" s="16"/>
    </row>
    <row r="452" spans="2:18" ht="40.200000000000003" customHeight="1" x14ac:dyDescent="0.4">
      <c r="B452" s="86"/>
      <c r="C452" s="3"/>
      <c r="D452" s="11"/>
      <c r="E452" s="88" t="s">
        <v>35</v>
      </c>
      <c r="F452" s="13">
        <f t="shared" si="349"/>
        <v>0</v>
      </c>
      <c r="G452" s="85"/>
      <c r="H452" s="84" t="str">
        <f t="shared" si="350"/>
        <v/>
      </c>
      <c r="I452" s="15" t="str">
        <f t="shared" si="351"/>
        <v/>
      </c>
      <c r="J452" s="26"/>
      <c r="K452" s="26"/>
      <c r="L452" s="7">
        <f t="shared" si="352"/>
        <v>0</v>
      </c>
      <c r="M452" s="24">
        <f t="shared" si="353"/>
        <v>0</v>
      </c>
      <c r="N452" s="12">
        <v>0</v>
      </c>
      <c r="O452" s="12">
        <v>0</v>
      </c>
      <c r="P452" s="12">
        <v>0</v>
      </c>
      <c r="Q452" s="16"/>
      <c r="R452" s="16"/>
    </row>
    <row r="453" spans="2:18" ht="40.200000000000003" customHeight="1" x14ac:dyDescent="0.4">
      <c r="B453" s="86"/>
      <c r="C453" s="3"/>
      <c r="D453" s="11"/>
      <c r="E453" s="88" t="s">
        <v>35</v>
      </c>
      <c r="F453" s="13">
        <f t="shared" si="349"/>
        <v>0</v>
      </c>
      <c r="G453" s="85"/>
      <c r="H453" s="84" t="str">
        <f t="shared" si="350"/>
        <v/>
      </c>
      <c r="I453" s="15" t="str">
        <f t="shared" si="351"/>
        <v/>
      </c>
      <c r="J453" s="26"/>
      <c r="K453" s="26"/>
      <c r="L453" s="7">
        <f t="shared" si="352"/>
        <v>0</v>
      </c>
      <c r="M453" s="24">
        <f t="shared" si="353"/>
        <v>0</v>
      </c>
      <c r="N453" s="12">
        <v>0</v>
      </c>
      <c r="O453" s="12">
        <v>0</v>
      </c>
      <c r="P453" s="12">
        <v>0</v>
      </c>
      <c r="Q453" s="16"/>
      <c r="R453" s="16"/>
    </row>
    <row r="454" spans="2:18" ht="40.200000000000003" customHeight="1" x14ac:dyDescent="0.4">
      <c r="B454" s="86"/>
      <c r="C454" s="3"/>
      <c r="D454" s="11"/>
      <c r="E454" s="88" t="s">
        <v>35</v>
      </c>
      <c r="F454" s="13">
        <f t="shared" si="349"/>
        <v>0</v>
      </c>
      <c r="G454" s="85"/>
      <c r="H454" s="84" t="str">
        <f t="shared" si="350"/>
        <v/>
      </c>
      <c r="I454" s="15" t="str">
        <f t="shared" si="351"/>
        <v/>
      </c>
      <c r="J454" s="26"/>
      <c r="K454" s="26"/>
      <c r="L454" s="7">
        <f t="shared" si="352"/>
        <v>0</v>
      </c>
      <c r="M454" s="24">
        <f t="shared" si="353"/>
        <v>0</v>
      </c>
      <c r="N454" s="12">
        <v>0</v>
      </c>
      <c r="O454" s="12">
        <v>0</v>
      </c>
      <c r="P454" s="12">
        <v>0</v>
      </c>
      <c r="Q454" s="16"/>
      <c r="R454" s="16"/>
    </row>
    <row r="455" spans="2:18" ht="40.200000000000003" customHeight="1" x14ac:dyDescent="0.4">
      <c r="B455" s="89"/>
      <c r="C455" s="3"/>
      <c r="D455" s="11"/>
      <c r="E455" s="90" t="s">
        <v>35</v>
      </c>
      <c r="F455" s="13">
        <f t="shared" ref="F455:F459" si="354">G455</f>
        <v>0</v>
      </c>
      <c r="G455" s="85"/>
      <c r="H455" s="84" t="str">
        <f t="shared" ref="H455:H459" si="355">IF(G455="","",(G455))</f>
        <v/>
      </c>
      <c r="I455" s="15" t="str">
        <f t="shared" ref="I455:I459" si="356">IF(H455="","",(H455+I454-J455))</f>
        <v/>
      </c>
      <c r="J455" s="26"/>
      <c r="K455" s="26"/>
      <c r="L455" s="7">
        <f t="shared" ref="L455:L459" si="357">C455</f>
        <v>0</v>
      </c>
      <c r="M455" s="24">
        <f t="shared" ref="M455:M459" si="358">G455</f>
        <v>0</v>
      </c>
      <c r="N455" s="12">
        <v>0</v>
      </c>
      <c r="O455" s="12">
        <v>0</v>
      </c>
      <c r="P455" s="12">
        <v>0</v>
      </c>
      <c r="Q455" s="16"/>
      <c r="R455" s="16"/>
    </row>
    <row r="456" spans="2:18" ht="40.200000000000003" customHeight="1" x14ac:dyDescent="0.4">
      <c r="B456" s="89"/>
      <c r="C456" s="3"/>
      <c r="D456" s="11"/>
      <c r="E456" s="90" t="s">
        <v>35</v>
      </c>
      <c r="F456" s="13">
        <f t="shared" si="354"/>
        <v>0</v>
      </c>
      <c r="G456" s="85"/>
      <c r="H456" s="84" t="str">
        <f t="shared" si="355"/>
        <v/>
      </c>
      <c r="I456" s="15" t="str">
        <f t="shared" si="356"/>
        <v/>
      </c>
      <c r="J456" s="26"/>
      <c r="K456" s="26"/>
      <c r="L456" s="7">
        <f t="shared" si="357"/>
        <v>0</v>
      </c>
      <c r="M456" s="24">
        <f t="shared" si="358"/>
        <v>0</v>
      </c>
      <c r="N456" s="12">
        <v>0</v>
      </c>
      <c r="O456" s="12">
        <v>0</v>
      </c>
      <c r="P456" s="12">
        <v>0</v>
      </c>
      <c r="Q456" s="16"/>
      <c r="R456" s="16"/>
    </row>
    <row r="457" spans="2:18" ht="40.200000000000003" customHeight="1" x14ac:dyDescent="0.4">
      <c r="B457" s="89"/>
      <c r="C457" s="3"/>
      <c r="D457" s="11"/>
      <c r="E457" s="90" t="s">
        <v>35</v>
      </c>
      <c r="F457" s="13">
        <f t="shared" si="354"/>
        <v>0</v>
      </c>
      <c r="G457" s="85"/>
      <c r="H457" s="84" t="str">
        <f t="shared" si="355"/>
        <v/>
      </c>
      <c r="I457" s="15" t="str">
        <f t="shared" si="356"/>
        <v/>
      </c>
      <c r="J457" s="26"/>
      <c r="K457" s="26"/>
      <c r="L457" s="7">
        <f t="shared" si="357"/>
        <v>0</v>
      </c>
      <c r="M457" s="24">
        <f t="shared" si="358"/>
        <v>0</v>
      </c>
      <c r="N457" s="12">
        <v>0</v>
      </c>
      <c r="O457" s="12">
        <v>0</v>
      </c>
      <c r="P457" s="12">
        <v>0</v>
      </c>
      <c r="Q457" s="16"/>
      <c r="R457" s="16"/>
    </row>
    <row r="458" spans="2:18" ht="40.200000000000003" customHeight="1" x14ac:dyDescent="0.4">
      <c r="B458" s="89"/>
      <c r="C458" s="3"/>
      <c r="D458" s="11"/>
      <c r="E458" s="90" t="s">
        <v>35</v>
      </c>
      <c r="F458" s="13">
        <f t="shared" si="354"/>
        <v>0</v>
      </c>
      <c r="G458" s="85"/>
      <c r="H458" s="84" t="str">
        <f t="shared" si="355"/>
        <v/>
      </c>
      <c r="I458" s="15" t="str">
        <f t="shared" si="356"/>
        <v/>
      </c>
      <c r="J458" s="26"/>
      <c r="K458" s="26"/>
      <c r="L458" s="7">
        <f t="shared" si="357"/>
        <v>0</v>
      </c>
      <c r="M458" s="24">
        <f t="shared" si="358"/>
        <v>0</v>
      </c>
      <c r="N458" s="12">
        <v>0</v>
      </c>
      <c r="O458" s="12">
        <v>0</v>
      </c>
      <c r="P458" s="12">
        <v>0</v>
      </c>
      <c r="Q458" s="16"/>
      <c r="R458" s="16"/>
    </row>
    <row r="459" spans="2:18" ht="40.200000000000003" customHeight="1" x14ac:dyDescent="0.4">
      <c r="B459" s="89"/>
      <c r="C459" s="3"/>
      <c r="D459" s="11"/>
      <c r="E459" s="90" t="s">
        <v>35</v>
      </c>
      <c r="F459" s="13">
        <f t="shared" si="354"/>
        <v>0</v>
      </c>
      <c r="G459" s="85"/>
      <c r="H459" s="84" t="str">
        <f t="shared" si="355"/>
        <v/>
      </c>
      <c r="I459" s="15" t="str">
        <f t="shared" si="356"/>
        <v/>
      </c>
      <c r="J459" s="26"/>
      <c r="K459" s="26"/>
      <c r="L459" s="7">
        <f t="shared" si="357"/>
        <v>0</v>
      </c>
      <c r="M459" s="24">
        <f t="shared" si="358"/>
        <v>0</v>
      </c>
      <c r="N459" s="12">
        <v>0</v>
      </c>
      <c r="O459" s="12">
        <v>0</v>
      </c>
      <c r="P459" s="12">
        <v>0</v>
      </c>
      <c r="Q459" s="16"/>
      <c r="R459" s="16"/>
    </row>
    <row r="460" spans="2:18" ht="40.200000000000003" customHeight="1" x14ac:dyDescent="0.4">
      <c r="B460" s="89"/>
      <c r="C460" s="3"/>
      <c r="D460" s="11"/>
      <c r="E460" s="90" t="s">
        <v>35</v>
      </c>
      <c r="F460" s="13">
        <f t="shared" ref="F460:F469" si="359">G460</f>
        <v>0</v>
      </c>
      <c r="G460" s="85"/>
      <c r="H460" s="84" t="str">
        <f t="shared" ref="H460:H469" si="360">IF(G460="","",(G460))</f>
        <v/>
      </c>
      <c r="I460" s="15" t="str">
        <f t="shared" ref="I460:I464" si="361">IF(H460="","",(H460+I459-J460))</f>
        <v/>
      </c>
      <c r="J460" s="26"/>
      <c r="K460" s="26"/>
      <c r="L460" s="7">
        <f t="shared" ref="L460:L469" si="362">C460</f>
        <v>0</v>
      </c>
      <c r="M460" s="24">
        <f t="shared" ref="M460:M469" si="363">G460</f>
        <v>0</v>
      </c>
      <c r="N460" s="12">
        <v>0</v>
      </c>
      <c r="O460" s="12">
        <v>0</v>
      </c>
      <c r="P460" s="12">
        <v>0</v>
      </c>
      <c r="Q460" s="16"/>
      <c r="R460" s="16"/>
    </row>
    <row r="461" spans="2:18" ht="40.200000000000003" customHeight="1" x14ac:dyDescent="0.4">
      <c r="B461" s="89"/>
      <c r="C461" s="3"/>
      <c r="D461" s="11"/>
      <c r="E461" s="90" t="s">
        <v>35</v>
      </c>
      <c r="F461" s="13">
        <f t="shared" si="359"/>
        <v>0</v>
      </c>
      <c r="G461" s="85"/>
      <c r="H461" s="84" t="str">
        <f t="shared" si="360"/>
        <v/>
      </c>
      <c r="I461" s="15" t="str">
        <f t="shared" si="361"/>
        <v/>
      </c>
      <c r="J461" s="26"/>
      <c r="K461" s="26"/>
      <c r="L461" s="7">
        <f t="shared" si="362"/>
        <v>0</v>
      </c>
      <c r="M461" s="24">
        <f t="shared" si="363"/>
        <v>0</v>
      </c>
      <c r="N461" s="12">
        <v>0</v>
      </c>
      <c r="O461" s="12">
        <v>0</v>
      </c>
      <c r="P461" s="12">
        <v>0</v>
      </c>
      <c r="Q461" s="16"/>
      <c r="R461" s="16"/>
    </row>
    <row r="462" spans="2:18" ht="40.200000000000003" customHeight="1" x14ac:dyDescent="0.4">
      <c r="B462" s="89"/>
      <c r="C462" s="3"/>
      <c r="D462" s="11"/>
      <c r="E462" s="90" t="s">
        <v>35</v>
      </c>
      <c r="F462" s="13">
        <f t="shared" si="359"/>
        <v>0</v>
      </c>
      <c r="G462" s="85"/>
      <c r="H462" s="84" t="str">
        <f t="shared" si="360"/>
        <v/>
      </c>
      <c r="I462" s="15" t="str">
        <f t="shared" si="361"/>
        <v/>
      </c>
      <c r="J462" s="26"/>
      <c r="K462" s="26"/>
      <c r="L462" s="7">
        <f t="shared" si="362"/>
        <v>0</v>
      </c>
      <c r="M462" s="24">
        <f t="shared" si="363"/>
        <v>0</v>
      </c>
      <c r="N462" s="12">
        <v>0</v>
      </c>
      <c r="O462" s="12">
        <v>0</v>
      </c>
      <c r="P462" s="12">
        <v>0</v>
      </c>
      <c r="Q462" s="16"/>
      <c r="R462" s="16"/>
    </row>
    <row r="463" spans="2:18" ht="40.200000000000003" customHeight="1" x14ac:dyDescent="0.4">
      <c r="B463" s="89"/>
      <c r="C463" s="3"/>
      <c r="D463" s="11"/>
      <c r="E463" s="90" t="s">
        <v>35</v>
      </c>
      <c r="F463" s="13">
        <f t="shared" si="359"/>
        <v>0</v>
      </c>
      <c r="G463" s="85"/>
      <c r="H463" s="84" t="str">
        <f t="shared" si="360"/>
        <v/>
      </c>
      <c r="I463" s="15" t="str">
        <f t="shared" si="361"/>
        <v/>
      </c>
      <c r="J463" s="26"/>
      <c r="K463" s="26"/>
      <c r="L463" s="7">
        <f t="shared" si="362"/>
        <v>0</v>
      </c>
      <c r="M463" s="24">
        <f t="shared" si="363"/>
        <v>0</v>
      </c>
      <c r="N463" s="12">
        <v>0</v>
      </c>
      <c r="O463" s="12">
        <v>0</v>
      </c>
      <c r="P463" s="12">
        <v>0</v>
      </c>
      <c r="Q463" s="16"/>
      <c r="R463" s="16"/>
    </row>
    <row r="464" spans="2:18" ht="40.200000000000003" customHeight="1" x14ac:dyDescent="0.4">
      <c r="B464" s="89"/>
      <c r="C464" s="3"/>
      <c r="D464" s="11"/>
      <c r="E464" s="90" t="s">
        <v>35</v>
      </c>
      <c r="F464" s="13">
        <f t="shared" si="359"/>
        <v>0</v>
      </c>
      <c r="G464" s="85"/>
      <c r="H464" s="84" t="str">
        <f t="shared" si="360"/>
        <v/>
      </c>
      <c r="I464" s="15" t="str">
        <f t="shared" si="361"/>
        <v/>
      </c>
      <c r="J464" s="26"/>
      <c r="K464" s="26"/>
      <c r="L464" s="7">
        <f t="shared" si="362"/>
        <v>0</v>
      </c>
      <c r="M464" s="24">
        <f t="shared" si="363"/>
        <v>0</v>
      </c>
      <c r="N464" s="12">
        <v>0</v>
      </c>
      <c r="O464" s="12">
        <v>0</v>
      </c>
      <c r="P464" s="12">
        <v>0</v>
      </c>
      <c r="Q464" s="16"/>
      <c r="R464" s="16"/>
    </row>
    <row r="465" spans="2:18" ht="40.200000000000003" customHeight="1" x14ac:dyDescent="0.4">
      <c r="B465" s="91"/>
      <c r="C465" s="3"/>
      <c r="D465" s="11"/>
      <c r="E465" s="93" t="s">
        <v>35</v>
      </c>
      <c r="F465" s="13">
        <f t="shared" si="359"/>
        <v>0</v>
      </c>
      <c r="G465" s="85"/>
      <c r="H465" s="84" t="str">
        <f t="shared" si="360"/>
        <v/>
      </c>
      <c r="I465" s="15" t="str">
        <f>IF(H465="","",(H465+I464-J465))</f>
        <v/>
      </c>
      <c r="J465" s="26"/>
      <c r="K465" s="26"/>
      <c r="L465" s="7">
        <f t="shared" si="362"/>
        <v>0</v>
      </c>
      <c r="M465" s="24">
        <f t="shared" si="363"/>
        <v>0</v>
      </c>
      <c r="N465" s="12">
        <v>0</v>
      </c>
      <c r="O465" s="12">
        <v>0</v>
      </c>
      <c r="P465" s="12">
        <v>0</v>
      </c>
      <c r="Q465" s="16"/>
      <c r="R465" s="16"/>
    </row>
    <row r="466" spans="2:18" ht="40.200000000000003" customHeight="1" x14ac:dyDescent="0.4">
      <c r="B466" s="91"/>
      <c r="C466" s="3"/>
      <c r="D466" s="11"/>
      <c r="E466" s="93" t="s">
        <v>35</v>
      </c>
      <c r="F466" s="13">
        <f t="shared" si="359"/>
        <v>0</v>
      </c>
      <c r="G466" s="85"/>
      <c r="H466" s="84" t="str">
        <f t="shared" si="360"/>
        <v/>
      </c>
      <c r="I466" s="15" t="str">
        <f>IF(H466="","",(H466+I465-J466))</f>
        <v/>
      </c>
      <c r="J466" s="26"/>
      <c r="K466" s="26"/>
      <c r="L466" s="7">
        <f t="shared" si="362"/>
        <v>0</v>
      </c>
      <c r="M466" s="24">
        <f t="shared" si="363"/>
        <v>0</v>
      </c>
      <c r="N466" s="12">
        <v>0</v>
      </c>
      <c r="O466" s="12">
        <v>0</v>
      </c>
      <c r="P466" s="12">
        <v>0</v>
      </c>
      <c r="Q466" s="16"/>
      <c r="R466" s="16"/>
    </row>
    <row r="467" spans="2:18" ht="40.200000000000003" customHeight="1" x14ac:dyDescent="0.4">
      <c r="B467" s="91"/>
      <c r="C467" s="3"/>
      <c r="D467" s="11"/>
      <c r="E467" s="93" t="s">
        <v>35</v>
      </c>
      <c r="F467" s="13">
        <f t="shared" si="359"/>
        <v>0</v>
      </c>
      <c r="G467" s="85"/>
      <c r="H467" s="84" t="str">
        <f t="shared" si="360"/>
        <v/>
      </c>
      <c r="I467" s="15" t="str">
        <f>IF(H467="","",(H467+I466-J467))</f>
        <v/>
      </c>
      <c r="J467" s="26"/>
      <c r="K467" s="26"/>
      <c r="L467" s="7">
        <f t="shared" si="362"/>
        <v>0</v>
      </c>
      <c r="M467" s="24">
        <f t="shared" si="363"/>
        <v>0</v>
      </c>
      <c r="N467" s="12">
        <v>0</v>
      </c>
      <c r="O467" s="12">
        <v>0</v>
      </c>
      <c r="P467" s="12">
        <v>0</v>
      </c>
      <c r="Q467" s="16"/>
      <c r="R467" s="16"/>
    </row>
    <row r="468" spans="2:18" ht="40.200000000000003" customHeight="1" x14ac:dyDescent="0.4">
      <c r="B468" s="91"/>
      <c r="C468" s="3"/>
      <c r="D468" s="11"/>
      <c r="E468" s="93" t="s">
        <v>35</v>
      </c>
      <c r="F468" s="13">
        <f t="shared" si="359"/>
        <v>0</v>
      </c>
      <c r="G468" s="85"/>
      <c r="H468" s="84" t="str">
        <f t="shared" si="360"/>
        <v/>
      </c>
      <c r="I468" s="15" t="str">
        <f>IF(H468="","",(H468+I467-J468))</f>
        <v/>
      </c>
      <c r="J468" s="26"/>
      <c r="K468" s="26"/>
      <c r="L468" s="7">
        <f t="shared" si="362"/>
        <v>0</v>
      </c>
      <c r="M468" s="24">
        <f t="shared" si="363"/>
        <v>0</v>
      </c>
      <c r="N468" s="12">
        <v>0</v>
      </c>
      <c r="O468" s="12">
        <v>0</v>
      </c>
      <c r="P468" s="12">
        <v>0</v>
      </c>
      <c r="Q468" s="16"/>
      <c r="R468" s="16"/>
    </row>
    <row r="469" spans="2:18" ht="40.200000000000003" customHeight="1" x14ac:dyDescent="0.4">
      <c r="B469" s="91"/>
      <c r="C469" s="3"/>
      <c r="D469" s="11"/>
      <c r="E469" s="93" t="s">
        <v>35</v>
      </c>
      <c r="F469" s="13">
        <f t="shared" si="359"/>
        <v>0</v>
      </c>
      <c r="G469" s="85"/>
      <c r="H469" s="84" t="str">
        <f t="shared" si="360"/>
        <v/>
      </c>
      <c r="I469" s="15" t="str">
        <f>IF(H469="","",(H469+I468-J469))</f>
        <v/>
      </c>
      <c r="J469" s="26"/>
      <c r="K469" s="26"/>
      <c r="L469" s="7">
        <f t="shared" si="362"/>
        <v>0</v>
      </c>
      <c r="M469" s="24">
        <f t="shared" si="363"/>
        <v>0</v>
      </c>
      <c r="N469" s="12">
        <v>0</v>
      </c>
      <c r="O469" s="12">
        <v>0</v>
      </c>
      <c r="P469" s="12">
        <v>0</v>
      </c>
      <c r="Q469" s="16"/>
      <c r="R469" s="16"/>
    </row>
    <row r="470" spans="2:18" ht="40.200000000000003" customHeight="1" x14ac:dyDescent="0.4">
      <c r="B470" s="94"/>
      <c r="C470" s="3"/>
      <c r="D470" s="11"/>
      <c r="E470" s="96" t="s">
        <v>35</v>
      </c>
      <c r="F470" s="13">
        <f t="shared" ref="F470:F473" si="364">G470</f>
        <v>0</v>
      </c>
      <c r="G470" s="85"/>
      <c r="H470" s="84" t="str">
        <f t="shared" ref="H470:H473" si="365">IF(G470="","",(G470))</f>
        <v/>
      </c>
      <c r="I470" s="15" t="str">
        <f t="shared" ref="I470:I473" si="366">IF(H470="","",(H470+I469-J470))</f>
        <v/>
      </c>
      <c r="J470" s="26"/>
      <c r="K470" s="26"/>
      <c r="L470" s="7">
        <f t="shared" ref="L470:L473" si="367">C470</f>
        <v>0</v>
      </c>
      <c r="M470" s="24">
        <f t="shared" ref="M470:M473" si="368">G470</f>
        <v>0</v>
      </c>
      <c r="N470" s="12">
        <v>0</v>
      </c>
      <c r="O470" s="12">
        <v>0</v>
      </c>
      <c r="P470" s="12">
        <v>0</v>
      </c>
      <c r="Q470" s="16"/>
      <c r="R470" s="16"/>
    </row>
    <row r="471" spans="2:18" ht="40.200000000000003" customHeight="1" x14ac:dyDescent="0.4">
      <c r="B471" s="94"/>
      <c r="C471" s="3"/>
      <c r="D471" s="11"/>
      <c r="E471" s="96" t="s">
        <v>35</v>
      </c>
      <c r="F471" s="13">
        <f t="shared" si="364"/>
        <v>0</v>
      </c>
      <c r="G471" s="85"/>
      <c r="H471" s="84" t="str">
        <f t="shared" si="365"/>
        <v/>
      </c>
      <c r="I471" s="15" t="str">
        <f t="shared" si="366"/>
        <v/>
      </c>
      <c r="J471" s="26"/>
      <c r="K471" s="26"/>
      <c r="L471" s="7">
        <f t="shared" si="367"/>
        <v>0</v>
      </c>
      <c r="M471" s="24">
        <f t="shared" si="368"/>
        <v>0</v>
      </c>
      <c r="N471" s="12">
        <v>0</v>
      </c>
      <c r="O471" s="12">
        <v>0</v>
      </c>
      <c r="P471" s="12">
        <v>0</v>
      </c>
      <c r="Q471" s="16"/>
      <c r="R471" s="16"/>
    </row>
    <row r="472" spans="2:18" ht="40.200000000000003" customHeight="1" x14ac:dyDescent="0.4">
      <c r="B472" s="94"/>
      <c r="C472" s="3"/>
      <c r="D472" s="11"/>
      <c r="E472" s="96" t="s">
        <v>35</v>
      </c>
      <c r="F472" s="13">
        <f t="shared" si="364"/>
        <v>0</v>
      </c>
      <c r="G472" s="85"/>
      <c r="H472" s="84" t="str">
        <f t="shared" si="365"/>
        <v/>
      </c>
      <c r="I472" s="15" t="str">
        <f t="shared" si="366"/>
        <v/>
      </c>
      <c r="J472" s="26"/>
      <c r="K472" s="26"/>
      <c r="L472" s="7">
        <f t="shared" si="367"/>
        <v>0</v>
      </c>
      <c r="M472" s="24">
        <f t="shared" si="368"/>
        <v>0</v>
      </c>
      <c r="N472" s="12">
        <v>0</v>
      </c>
      <c r="O472" s="12">
        <v>0</v>
      </c>
      <c r="P472" s="12">
        <v>0</v>
      </c>
      <c r="Q472" s="16"/>
      <c r="R472" s="16"/>
    </row>
    <row r="473" spans="2:18" ht="40.200000000000003" customHeight="1" x14ac:dyDescent="0.4">
      <c r="B473" s="94"/>
      <c r="C473" s="3"/>
      <c r="D473" s="11"/>
      <c r="E473" s="96" t="s">
        <v>35</v>
      </c>
      <c r="F473" s="13">
        <f t="shared" si="364"/>
        <v>0</v>
      </c>
      <c r="G473" s="85"/>
      <c r="H473" s="84" t="str">
        <f t="shared" si="365"/>
        <v/>
      </c>
      <c r="I473" s="15" t="str">
        <f t="shared" si="366"/>
        <v/>
      </c>
      <c r="J473" s="26"/>
      <c r="K473" s="26"/>
      <c r="L473" s="7">
        <f t="shared" si="367"/>
        <v>0</v>
      </c>
      <c r="M473" s="24">
        <f t="shared" si="368"/>
        <v>0</v>
      </c>
      <c r="N473" s="12">
        <v>0</v>
      </c>
      <c r="O473" s="12">
        <v>0</v>
      </c>
      <c r="P473" s="12">
        <v>0</v>
      </c>
      <c r="Q473" s="16"/>
      <c r="R473" s="16"/>
    </row>
    <row r="474" spans="2:18" ht="40.200000000000003" customHeight="1" x14ac:dyDescent="0.4">
      <c r="B474" s="94"/>
      <c r="C474" s="3"/>
      <c r="D474" s="11"/>
      <c r="E474" s="96" t="s">
        <v>35</v>
      </c>
      <c r="F474" s="13">
        <f t="shared" ref="F474:F476" si="369">G474</f>
        <v>0</v>
      </c>
      <c r="G474" s="85"/>
      <c r="H474" s="84" t="str">
        <f t="shared" ref="H474:H476" si="370">IF(G474="","",(G474))</f>
        <v/>
      </c>
      <c r="I474" s="15" t="str">
        <f t="shared" ref="I474:I476" si="371">IF(H474="","",(H474+I473-J474))</f>
        <v/>
      </c>
      <c r="J474" s="26"/>
      <c r="K474" s="26"/>
      <c r="L474" s="7">
        <f t="shared" ref="L474:L476" si="372">C474</f>
        <v>0</v>
      </c>
      <c r="M474" s="24">
        <f t="shared" ref="M474:M476" si="373">G474</f>
        <v>0</v>
      </c>
      <c r="N474" s="12">
        <v>0</v>
      </c>
      <c r="O474" s="12">
        <v>0</v>
      </c>
      <c r="P474" s="12">
        <v>0</v>
      </c>
      <c r="Q474" s="16"/>
      <c r="R474" s="16"/>
    </row>
    <row r="475" spans="2:18" ht="40.200000000000003" customHeight="1" x14ac:dyDescent="0.4">
      <c r="B475" s="94"/>
      <c r="C475" s="3"/>
      <c r="D475" s="11"/>
      <c r="E475" s="96" t="s">
        <v>35</v>
      </c>
      <c r="F475" s="13">
        <f t="shared" si="369"/>
        <v>0</v>
      </c>
      <c r="G475" s="85"/>
      <c r="H475" s="84" t="str">
        <f t="shared" si="370"/>
        <v/>
      </c>
      <c r="I475" s="15" t="str">
        <f t="shared" si="371"/>
        <v/>
      </c>
      <c r="J475" s="26"/>
      <c r="K475" s="26"/>
      <c r="L475" s="7">
        <f t="shared" si="372"/>
        <v>0</v>
      </c>
      <c r="M475" s="24">
        <f t="shared" si="373"/>
        <v>0</v>
      </c>
      <c r="N475" s="12">
        <v>0</v>
      </c>
      <c r="O475" s="12">
        <v>0</v>
      </c>
      <c r="P475" s="12">
        <v>0</v>
      </c>
      <c r="Q475" s="16"/>
      <c r="R475" s="16"/>
    </row>
    <row r="476" spans="2:18" ht="40.200000000000003" customHeight="1" x14ac:dyDescent="0.4">
      <c r="B476" s="94"/>
      <c r="C476" s="3"/>
      <c r="D476" s="11"/>
      <c r="E476" s="96" t="s">
        <v>35</v>
      </c>
      <c r="F476" s="13">
        <f t="shared" si="369"/>
        <v>0</v>
      </c>
      <c r="G476" s="85"/>
      <c r="H476" s="84" t="str">
        <f t="shared" si="370"/>
        <v/>
      </c>
      <c r="I476" s="15" t="str">
        <f t="shared" si="371"/>
        <v/>
      </c>
      <c r="J476" s="26"/>
      <c r="K476" s="26"/>
      <c r="L476" s="7">
        <f t="shared" si="372"/>
        <v>0</v>
      </c>
      <c r="M476" s="24">
        <f t="shared" si="373"/>
        <v>0</v>
      </c>
      <c r="N476" s="12">
        <v>0</v>
      </c>
      <c r="O476" s="12">
        <v>0</v>
      </c>
      <c r="P476" s="12">
        <v>0</v>
      </c>
      <c r="Q476" s="16"/>
      <c r="R476" s="16"/>
    </row>
    <row r="477" spans="2:18" ht="40.200000000000003" customHeight="1" x14ac:dyDescent="0.4">
      <c r="B477" s="97"/>
      <c r="C477" s="3"/>
      <c r="D477" s="11"/>
      <c r="E477" s="98" t="s">
        <v>35</v>
      </c>
      <c r="F477" s="13">
        <f t="shared" ref="F477:F480" si="374">G477</f>
        <v>0</v>
      </c>
      <c r="G477" s="85"/>
      <c r="H477" s="84" t="str">
        <f t="shared" ref="H477:H480" si="375">IF(G477="","",(G477))</f>
        <v/>
      </c>
      <c r="I477" s="15" t="str">
        <f t="shared" ref="I477:I480" si="376">IF(H477="","",(H477+I476-J477))</f>
        <v/>
      </c>
      <c r="J477" s="26"/>
      <c r="K477" s="26"/>
      <c r="L477" s="7">
        <f t="shared" ref="L477:L480" si="377">C477</f>
        <v>0</v>
      </c>
      <c r="M477" s="24">
        <f t="shared" ref="M477:M480" si="378">G477</f>
        <v>0</v>
      </c>
      <c r="N477" s="12">
        <v>0</v>
      </c>
      <c r="O477" s="12">
        <v>0</v>
      </c>
      <c r="P477" s="12">
        <v>0</v>
      </c>
      <c r="Q477" s="16"/>
      <c r="R477" s="16"/>
    </row>
    <row r="478" spans="2:18" ht="40.200000000000003" customHeight="1" x14ac:dyDescent="0.4">
      <c r="B478" s="97"/>
      <c r="C478" s="3"/>
      <c r="D478" s="11"/>
      <c r="E478" s="98" t="s">
        <v>35</v>
      </c>
      <c r="F478" s="13">
        <f t="shared" si="374"/>
        <v>0</v>
      </c>
      <c r="G478" s="85"/>
      <c r="H478" s="84" t="str">
        <f t="shared" si="375"/>
        <v/>
      </c>
      <c r="I478" s="15" t="str">
        <f t="shared" si="376"/>
        <v/>
      </c>
      <c r="J478" s="26"/>
      <c r="K478" s="26"/>
      <c r="L478" s="7">
        <f t="shared" si="377"/>
        <v>0</v>
      </c>
      <c r="M478" s="24">
        <f t="shared" si="378"/>
        <v>0</v>
      </c>
      <c r="N478" s="12">
        <v>0</v>
      </c>
      <c r="O478" s="12">
        <v>0</v>
      </c>
      <c r="P478" s="12">
        <v>0</v>
      </c>
      <c r="Q478" s="16"/>
      <c r="R478" s="16"/>
    </row>
    <row r="479" spans="2:18" ht="40.200000000000003" customHeight="1" x14ac:dyDescent="0.4">
      <c r="B479" s="97"/>
      <c r="C479" s="3"/>
      <c r="D479" s="11"/>
      <c r="E479" s="98" t="s">
        <v>35</v>
      </c>
      <c r="F479" s="13">
        <f t="shared" si="374"/>
        <v>0</v>
      </c>
      <c r="G479" s="85"/>
      <c r="H479" s="84" t="str">
        <f t="shared" si="375"/>
        <v/>
      </c>
      <c r="I479" s="15" t="str">
        <f t="shared" si="376"/>
        <v/>
      </c>
      <c r="J479" s="26"/>
      <c r="K479" s="26"/>
      <c r="L479" s="7">
        <f t="shared" si="377"/>
        <v>0</v>
      </c>
      <c r="M479" s="24">
        <f t="shared" si="378"/>
        <v>0</v>
      </c>
      <c r="N479" s="12">
        <v>0</v>
      </c>
      <c r="O479" s="12">
        <v>0</v>
      </c>
      <c r="P479" s="12">
        <v>0</v>
      </c>
      <c r="Q479" s="16"/>
      <c r="R479" s="16"/>
    </row>
    <row r="480" spans="2:18" ht="40.200000000000003" customHeight="1" x14ac:dyDescent="0.4">
      <c r="B480" s="97"/>
      <c r="C480" s="3"/>
      <c r="D480" s="11"/>
      <c r="E480" s="98" t="s">
        <v>35</v>
      </c>
      <c r="F480" s="13">
        <f t="shared" si="374"/>
        <v>0</v>
      </c>
      <c r="G480" s="85"/>
      <c r="H480" s="84" t="str">
        <f t="shared" si="375"/>
        <v/>
      </c>
      <c r="I480" s="15" t="str">
        <f t="shared" si="376"/>
        <v/>
      </c>
      <c r="J480" s="26"/>
      <c r="K480" s="26"/>
      <c r="L480" s="7">
        <f t="shared" si="377"/>
        <v>0</v>
      </c>
      <c r="M480" s="24">
        <f t="shared" si="378"/>
        <v>0</v>
      </c>
      <c r="N480" s="12">
        <v>0</v>
      </c>
      <c r="O480" s="12">
        <v>0</v>
      </c>
      <c r="P480" s="12">
        <v>0</v>
      </c>
      <c r="Q480" s="16"/>
      <c r="R480" s="16"/>
    </row>
    <row r="481" spans="2:18" ht="40.200000000000003" customHeight="1" x14ac:dyDescent="0.4">
      <c r="B481" s="99"/>
      <c r="C481" s="3"/>
      <c r="D481" s="11"/>
      <c r="E481" s="98" t="s">
        <v>35</v>
      </c>
      <c r="F481" s="13">
        <f t="shared" ref="F481:F484" si="379">G481</f>
        <v>0</v>
      </c>
      <c r="G481" s="85"/>
      <c r="H481" s="84" t="str">
        <f t="shared" ref="H481:H484" si="380">IF(G481="","",(G481))</f>
        <v/>
      </c>
      <c r="I481" s="15" t="str">
        <f t="shared" ref="I481:I484" si="381">IF(H481="","",(H481+I480-J481))</f>
        <v/>
      </c>
      <c r="J481" s="26"/>
      <c r="K481" s="26"/>
      <c r="L481" s="7">
        <f t="shared" ref="L481:L484" si="382">C481</f>
        <v>0</v>
      </c>
      <c r="M481" s="24">
        <f t="shared" ref="M481:M484" si="383">G481</f>
        <v>0</v>
      </c>
      <c r="N481" s="12">
        <v>0</v>
      </c>
      <c r="O481" s="12">
        <v>0</v>
      </c>
      <c r="P481" s="12">
        <v>0</v>
      </c>
      <c r="Q481" s="16"/>
      <c r="R481" s="16"/>
    </row>
    <row r="482" spans="2:18" ht="40.200000000000003" customHeight="1" x14ac:dyDescent="0.4">
      <c r="B482" s="99"/>
      <c r="C482" s="3"/>
      <c r="D482" s="11"/>
      <c r="E482" s="98" t="s">
        <v>35</v>
      </c>
      <c r="F482" s="13">
        <f t="shared" si="379"/>
        <v>0</v>
      </c>
      <c r="G482" s="85"/>
      <c r="H482" s="84" t="str">
        <f t="shared" si="380"/>
        <v/>
      </c>
      <c r="I482" s="15" t="str">
        <f t="shared" si="381"/>
        <v/>
      </c>
      <c r="J482" s="26"/>
      <c r="K482" s="26"/>
      <c r="L482" s="7">
        <f t="shared" si="382"/>
        <v>0</v>
      </c>
      <c r="M482" s="24">
        <f t="shared" si="383"/>
        <v>0</v>
      </c>
      <c r="N482" s="12">
        <v>0</v>
      </c>
      <c r="O482" s="12">
        <v>0</v>
      </c>
      <c r="P482" s="12">
        <v>0</v>
      </c>
      <c r="Q482" s="16"/>
      <c r="R482" s="16"/>
    </row>
    <row r="483" spans="2:18" ht="40.200000000000003" customHeight="1" x14ac:dyDescent="0.4">
      <c r="B483" s="99"/>
      <c r="C483" s="3"/>
      <c r="D483" s="11"/>
      <c r="E483" s="98" t="s">
        <v>35</v>
      </c>
      <c r="F483" s="13">
        <f t="shared" si="379"/>
        <v>0</v>
      </c>
      <c r="G483" s="85"/>
      <c r="H483" s="84" t="str">
        <f t="shared" si="380"/>
        <v/>
      </c>
      <c r="I483" s="15" t="str">
        <f t="shared" si="381"/>
        <v/>
      </c>
      <c r="J483" s="26"/>
      <c r="K483" s="26"/>
      <c r="L483" s="7">
        <f t="shared" si="382"/>
        <v>0</v>
      </c>
      <c r="M483" s="24">
        <f t="shared" si="383"/>
        <v>0</v>
      </c>
      <c r="N483" s="12">
        <v>0</v>
      </c>
      <c r="O483" s="12">
        <v>0</v>
      </c>
      <c r="P483" s="12">
        <v>0</v>
      </c>
      <c r="Q483" s="16"/>
      <c r="R483" s="16"/>
    </row>
    <row r="484" spans="2:18" ht="40.200000000000003" customHeight="1" x14ac:dyDescent="0.4">
      <c r="B484" s="99"/>
      <c r="C484" s="3"/>
      <c r="D484" s="11"/>
      <c r="E484" s="98" t="s">
        <v>35</v>
      </c>
      <c r="F484" s="13">
        <f t="shared" si="379"/>
        <v>0</v>
      </c>
      <c r="G484" s="85"/>
      <c r="H484" s="84" t="str">
        <f t="shared" si="380"/>
        <v/>
      </c>
      <c r="I484" s="15" t="str">
        <f t="shared" si="381"/>
        <v/>
      </c>
      <c r="J484" s="26"/>
      <c r="K484" s="26"/>
      <c r="L484" s="7">
        <f t="shared" si="382"/>
        <v>0</v>
      </c>
      <c r="M484" s="24">
        <f t="shared" si="383"/>
        <v>0</v>
      </c>
      <c r="N484" s="12">
        <v>0</v>
      </c>
      <c r="O484" s="12">
        <v>0</v>
      </c>
      <c r="P484" s="12">
        <v>0</v>
      </c>
      <c r="Q484" s="16"/>
      <c r="R484" s="16"/>
    </row>
    <row r="485" spans="2:18" ht="40.200000000000003" customHeight="1" x14ac:dyDescent="0.4">
      <c r="B485" s="101"/>
      <c r="C485" s="3"/>
      <c r="D485" s="11"/>
      <c r="E485" s="100" t="s">
        <v>35</v>
      </c>
      <c r="F485" s="13">
        <f t="shared" ref="F485:F488" si="384">G485</f>
        <v>0</v>
      </c>
      <c r="G485" s="85"/>
      <c r="H485" s="84" t="str">
        <f t="shared" ref="H485:H488" si="385">IF(G485="","",(G485))</f>
        <v/>
      </c>
      <c r="I485" s="15" t="str">
        <f t="shared" ref="I485:I488" si="386">IF(H485="","",(H485+I484-J485))</f>
        <v/>
      </c>
      <c r="J485" s="26"/>
      <c r="K485" s="26"/>
      <c r="L485" s="7">
        <f t="shared" ref="L485:L488" si="387">C485</f>
        <v>0</v>
      </c>
      <c r="M485" s="24">
        <f t="shared" ref="M485:M488" si="388">G485</f>
        <v>0</v>
      </c>
      <c r="N485" s="12">
        <v>0</v>
      </c>
      <c r="O485" s="12">
        <v>0</v>
      </c>
      <c r="P485" s="12">
        <v>0</v>
      </c>
      <c r="Q485" s="16"/>
      <c r="R485" s="16"/>
    </row>
    <row r="486" spans="2:18" ht="40.200000000000003" customHeight="1" x14ac:dyDescent="0.4">
      <c r="B486" s="101"/>
      <c r="C486" s="3"/>
      <c r="D486" s="11"/>
      <c r="E486" s="100" t="s">
        <v>35</v>
      </c>
      <c r="F486" s="13">
        <f t="shared" si="384"/>
        <v>0</v>
      </c>
      <c r="G486" s="85"/>
      <c r="H486" s="84" t="str">
        <f t="shared" si="385"/>
        <v/>
      </c>
      <c r="I486" s="15" t="str">
        <f t="shared" si="386"/>
        <v/>
      </c>
      <c r="J486" s="26"/>
      <c r="K486" s="26"/>
      <c r="L486" s="7">
        <f t="shared" si="387"/>
        <v>0</v>
      </c>
      <c r="M486" s="24">
        <f t="shared" si="388"/>
        <v>0</v>
      </c>
      <c r="N486" s="12">
        <v>0</v>
      </c>
      <c r="O486" s="12">
        <v>0</v>
      </c>
      <c r="P486" s="12">
        <v>0</v>
      </c>
      <c r="Q486" s="16"/>
      <c r="R486" s="16"/>
    </row>
    <row r="487" spans="2:18" ht="40.200000000000003" customHeight="1" x14ac:dyDescent="0.4">
      <c r="B487" s="101"/>
      <c r="C487" s="3"/>
      <c r="D487" s="11"/>
      <c r="E487" s="100" t="s">
        <v>35</v>
      </c>
      <c r="F487" s="13">
        <f t="shared" si="384"/>
        <v>0</v>
      </c>
      <c r="G487" s="85"/>
      <c r="H487" s="84" t="str">
        <f t="shared" si="385"/>
        <v/>
      </c>
      <c r="I487" s="15" t="str">
        <f t="shared" si="386"/>
        <v/>
      </c>
      <c r="J487" s="26"/>
      <c r="K487" s="26"/>
      <c r="L487" s="7">
        <f t="shared" si="387"/>
        <v>0</v>
      </c>
      <c r="M487" s="24">
        <f t="shared" si="388"/>
        <v>0</v>
      </c>
      <c r="N487" s="12">
        <v>0</v>
      </c>
      <c r="O487" s="12">
        <v>0</v>
      </c>
      <c r="P487" s="12">
        <v>0</v>
      </c>
      <c r="Q487" s="16"/>
      <c r="R487" s="16"/>
    </row>
    <row r="488" spans="2:18" ht="40.200000000000003" customHeight="1" x14ac:dyDescent="0.4">
      <c r="B488" s="101"/>
      <c r="C488" s="3"/>
      <c r="D488" s="11"/>
      <c r="E488" s="100" t="s">
        <v>35</v>
      </c>
      <c r="F488" s="13">
        <f t="shared" si="384"/>
        <v>0</v>
      </c>
      <c r="G488" s="85"/>
      <c r="H488" s="84" t="str">
        <f t="shared" si="385"/>
        <v/>
      </c>
      <c r="I488" s="15" t="str">
        <f t="shared" si="386"/>
        <v/>
      </c>
      <c r="J488" s="26"/>
      <c r="K488" s="26"/>
      <c r="L488" s="7">
        <f t="shared" si="387"/>
        <v>0</v>
      </c>
      <c r="M488" s="24">
        <f t="shared" si="388"/>
        <v>0</v>
      </c>
      <c r="N488" s="12">
        <v>0</v>
      </c>
      <c r="O488" s="12">
        <v>0</v>
      </c>
      <c r="P488" s="12">
        <v>0</v>
      </c>
      <c r="Q488" s="16"/>
      <c r="R488" s="16"/>
    </row>
    <row r="489" spans="2:18" ht="40.200000000000003" customHeight="1" x14ac:dyDescent="0.4">
      <c r="B489" s="101"/>
      <c r="C489" s="3"/>
      <c r="D489" s="11"/>
      <c r="E489" s="100" t="s">
        <v>35</v>
      </c>
      <c r="F489" s="13">
        <f t="shared" ref="F489:F493" si="389">G489</f>
        <v>0</v>
      </c>
      <c r="G489" s="85"/>
      <c r="H489" s="84" t="str">
        <f t="shared" ref="H489:H493" si="390">IF(G489="","",(G489))</f>
        <v/>
      </c>
      <c r="I489" s="15" t="str">
        <f t="shared" ref="I489:I493" si="391">IF(H489="","",(H489+I488-J489))</f>
        <v/>
      </c>
      <c r="J489" s="26"/>
      <c r="K489" s="26"/>
      <c r="L489" s="7">
        <f t="shared" ref="L489:L493" si="392">C489</f>
        <v>0</v>
      </c>
      <c r="M489" s="24">
        <f t="shared" ref="M489:M493" si="393">G489</f>
        <v>0</v>
      </c>
      <c r="N489" s="12">
        <v>0</v>
      </c>
      <c r="O489" s="12">
        <v>0</v>
      </c>
      <c r="P489" s="12">
        <v>0</v>
      </c>
      <c r="Q489" s="16"/>
      <c r="R489" s="16"/>
    </row>
    <row r="490" spans="2:18" ht="40.200000000000003" customHeight="1" x14ac:dyDescent="0.4">
      <c r="B490" s="104"/>
      <c r="C490" s="3"/>
      <c r="D490" s="11"/>
      <c r="E490" s="102" t="s">
        <v>35</v>
      </c>
      <c r="F490" s="13">
        <f t="shared" si="389"/>
        <v>0</v>
      </c>
      <c r="G490" s="85"/>
      <c r="H490" s="84" t="str">
        <f t="shared" si="390"/>
        <v/>
      </c>
      <c r="I490" s="15" t="str">
        <f t="shared" si="391"/>
        <v/>
      </c>
      <c r="J490" s="26"/>
      <c r="K490" s="26"/>
      <c r="L490" s="7">
        <f t="shared" si="392"/>
        <v>0</v>
      </c>
      <c r="M490" s="24">
        <f t="shared" si="393"/>
        <v>0</v>
      </c>
      <c r="N490" s="12">
        <v>0</v>
      </c>
      <c r="O490" s="12">
        <v>0</v>
      </c>
      <c r="P490" s="12">
        <v>0</v>
      </c>
      <c r="Q490" s="16"/>
      <c r="R490" s="16"/>
    </row>
    <row r="491" spans="2:18" ht="40.200000000000003" customHeight="1" x14ac:dyDescent="0.4">
      <c r="B491" s="104"/>
      <c r="C491" s="3"/>
      <c r="D491" s="11"/>
      <c r="E491" s="102" t="s">
        <v>35</v>
      </c>
      <c r="F491" s="13">
        <f t="shared" si="389"/>
        <v>0</v>
      </c>
      <c r="G491" s="85"/>
      <c r="H491" s="84" t="str">
        <f t="shared" si="390"/>
        <v/>
      </c>
      <c r="I491" s="15" t="str">
        <f t="shared" si="391"/>
        <v/>
      </c>
      <c r="J491" s="26"/>
      <c r="K491" s="26"/>
      <c r="L491" s="7">
        <f t="shared" si="392"/>
        <v>0</v>
      </c>
      <c r="M491" s="24">
        <f t="shared" si="393"/>
        <v>0</v>
      </c>
      <c r="N491" s="12">
        <v>0</v>
      </c>
      <c r="O491" s="12">
        <v>0</v>
      </c>
      <c r="P491" s="12">
        <v>0</v>
      </c>
      <c r="Q491" s="16"/>
      <c r="R491" s="16"/>
    </row>
    <row r="492" spans="2:18" ht="40.200000000000003" customHeight="1" x14ac:dyDescent="0.4">
      <c r="B492" s="104"/>
      <c r="C492" s="3"/>
      <c r="D492" s="11"/>
      <c r="E492" s="102" t="s">
        <v>35</v>
      </c>
      <c r="F492" s="13">
        <f t="shared" si="389"/>
        <v>0</v>
      </c>
      <c r="G492" s="85"/>
      <c r="H492" s="84" t="str">
        <f t="shared" si="390"/>
        <v/>
      </c>
      <c r="I492" s="15" t="str">
        <f t="shared" si="391"/>
        <v/>
      </c>
      <c r="J492" s="26"/>
      <c r="K492" s="26"/>
      <c r="L492" s="7">
        <f t="shared" si="392"/>
        <v>0</v>
      </c>
      <c r="M492" s="24">
        <f t="shared" si="393"/>
        <v>0</v>
      </c>
      <c r="N492" s="12">
        <v>0</v>
      </c>
      <c r="O492" s="12">
        <v>0</v>
      </c>
      <c r="P492" s="12">
        <v>0</v>
      </c>
      <c r="Q492" s="16"/>
      <c r="R492" s="16"/>
    </row>
    <row r="493" spans="2:18" ht="40.200000000000003" customHeight="1" x14ac:dyDescent="0.4">
      <c r="B493" s="104"/>
      <c r="C493" s="3"/>
      <c r="D493" s="11"/>
      <c r="E493" s="102" t="s">
        <v>35</v>
      </c>
      <c r="F493" s="13">
        <f t="shared" si="389"/>
        <v>0</v>
      </c>
      <c r="G493" s="85"/>
      <c r="H493" s="84" t="str">
        <f t="shared" si="390"/>
        <v/>
      </c>
      <c r="I493" s="15" t="str">
        <f t="shared" si="391"/>
        <v/>
      </c>
      <c r="J493" s="26"/>
      <c r="K493" s="26"/>
      <c r="L493" s="7">
        <f t="shared" si="392"/>
        <v>0</v>
      </c>
      <c r="M493" s="24">
        <f t="shared" si="393"/>
        <v>0</v>
      </c>
      <c r="N493" s="12">
        <v>0</v>
      </c>
      <c r="O493" s="12">
        <v>0</v>
      </c>
      <c r="P493" s="12">
        <v>0</v>
      </c>
      <c r="Q493" s="16"/>
      <c r="R493" s="16"/>
    </row>
    <row r="494" spans="2:18" ht="40.200000000000003" customHeight="1" x14ac:dyDescent="0.4">
      <c r="B494" s="104"/>
      <c r="C494" s="3"/>
      <c r="D494" s="11"/>
      <c r="E494" s="103" t="s">
        <v>35</v>
      </c>
      <c r="F494" s="13">
        <f t="shared" ref="F494:F500" si="394">G494</f>
        <v>0</v>
      </c>
      <c r="G494" s="85"/>
      <c r="H494" s="84" t="str">
        <f t="shared" ref="H494:H500" si="395">IF(G494="","",(G494))</f>
        <v/>
      </c>
      <c r="I494" s="15" t="str">
        <f t="shared" ref="I494:I500" si="396">IF(H494="","",(H494+I493-J494))</f>
        <v/>
      </c>
      <c r="J494" s="26"/>
      <c r="K494" s="26"/>
      <c r="L494" s="7">
        <f t="shared" ref="L494:L500" si="397">C494</f>
        <v>0</v>
      </c>
      <c r="M494" s="24">
        <f t="shared" ref="M494:M500" si="398">G494</f>
        <v>0</v>
      </c>
      <c r="N494" s="12">
        <v>0</v>
      </c>
      <c r="O494" s="12">
        <v>0</v>
      </c>
      <c r="P494" s="12">
        <v>0</v>
      </c>
      <c r="Q494" s="16"/>
      <c r="R494" s="16"/>
    </row>
    <row r="495" spans="2:18" ht="40.200000000000003" customHeight="1" x14ac:dyDescent="0.4">
      <c r="B495" s="104"/>
      <c r="C495" s="3"/>
      <c r="D495" s="11"/>
      <c r="E495" s="103" t="s">
        <v>35</v>
      </c>
      <c r="F495" s="13">
        <f t="shared" si="394"/>
        <v>0</v>
      </c>
      <c r="G495" s="85"/>
      <c r="H495" s="84" t="str">
        <f t="shared" si="395"/>
        <v/>
      </c>
      <c r="I495" s="15" t="str">
        <f t="shared" si="396"/>
        <v/>
      </c>
      <c r="J495" s="26"/>
      <c r="K495" s="26"/>
      <c r="L495" s="7">
        <f t="shared" si="397"/>
        <v>0</v>
      </c>
      <c r="M495" s="24">
        <f t="shared" si="398"/>
        <v>0</v>
      </c>
      <c r="N495" s="12">
        <v>0</v>
      </c>
      <c r="O495" s="12">
        <v>0</v>
      </c>
      <c r="P495" s="12">
        <v>0</v>
      </c>
      <c r="Q495" s="16"/>
      <c r="R495" s="16"/>
    </row>
    <row r="496" spans="2:18" ht="40.200000000000003" customHeight="1" x14ac:dyDescent="0.4">
      <c r="B496" s="104"/>
      <c r="C496" s="3"/>
      <c r="D496" s="11"/>
      <c r="E496" s="103" t="s">
        <v>35</v>
      </c>
      <c r="F496" s="13">
        <f t="shared" si="394"/>
        <v>0</v>
      </c>
      <c r="G496" s="85"/>
      <c r="H496" s="84" t="str">
        <f t="shared" si="395"/>
        <v/>
      </c>
      <c r="I496" s="15" t="str">
        <f t="shared" si="396"/>
        <v/>
      </c>
      <c r="J496" s="26"/>
      <c r="K496" s="26"/>
      <c r="L496" s="7">
        <f t="shared" si="397"/>
        <v>0</v>
      </c>
      <c r="M496" s="24">
        <f t="shared" si="398"/>
        <v>0</v>
      </c>
      <c r="N496" s="12">
        <v>0</v>
      </c>
      <c r="O496" s="12">
        <v>0</v>
      </c>
      <c r="P496" s="12">
        <v>0</v>
      </c>
      <c r="Q496" s="16"/>
      <c r="R496" s="16"/>
    </row>
    <row r="497" spans="2:18" ht="40.200000000000003" customHeight="1" x14ac:dyDescent="0.4">
      <c r="B497" s="104"/>
      <c r="C497" s="3"/>
      <c r="D497" s="11"/>
      <c r="E497" s="103" t="s">
        <v>35</v>
      </c>
      <c r="F497" s="13">
        <f t="shared" si="394"/>
        <v>0</v>
      </c>
      <c r="G497" s="85"/>
      <c r="H497" s="84" t="str">
        <f t="shared" si="395"/>
        <v/>
      </c>
      <c r="I497" s="15" t="str">
        <f t="shared" si="396"/>
        <v/>
      </c>
      <c r="J497" s="26"/>
      <c r="K497" s="26"/>
      <c r="L497" s="7">
        <f t="shared" si="397"/>
        <v>0</v>
      </c>
      <c r="M497" s="24">
        <f t="shared" si="398"/>
        <v>0</v>
      </c>
      <c r="N497" s="12">
        <v>0</v>
      </c>
      <c r="O497" s="12">
        <v>0</v>
      </c>
      <c r="P497" s="12">
        <v>0</v>
      </c>
      <c r="Q497" s="16"/>
      <c r="R497" s="16"/>
    </row>
    <row r="498" spans="2:18" ht="40.200000000000003" customHeight="1" x14ac:dyDescent="0.4">
      <c r="B498" s="104"/>
      <c r="C498" s="3"/>
      <c r="D498" s="11"/>
      <c r="E498" s="103" t="s">
        <v>35</v>
      </c>
      <c r="F498" s="13">
        <f>G498</f>
        <v>0</v>
      </c>
      <c r="G498" s="85"/>
      <c r="H498" s="84" t="str">
        <f t="shared" si="395"/>
        <v/>
      </c>
      <c r="I498" s="15" t="str">
        <f t="shared" si="396"/>
        <v/>
      </c>
      <c r="J498" s="26"/>
      <c r="K498" s="26"/>
      <c r="L498" s="7">
        <f t="shared" si="397"/>
        <v>0</v>
      </c>
      <c r="M498" s="24">
        <f t="shared" si="398"/>
        <v>0</v>
      </c>
      <c r="N498" s="12">
        <v>0</v>
      </c>
      <c r="O498" s="12">
        <v>0</v>
      </c>
      <c r="P498" s="12">
        <v>0</v>
      </c>
      <c r="Q498" s="16"/>
      <c r="R498" s="16"/>
    </row>
    <row r="499" spans="2:18" ht="40.200000000000003" customHeight="1" x14ac:dyDescent="0.4">
      <c r="B499" s="104"/>
      <c r="C499" s="3"/>
      <c r="D499" s="11"/>
      <c r="E499" s="103" t="s">
        <v>35</v>
      </c>
      <c r="F499" s="13">
        <f t="shared" si="394"/>
        <v>0</v>
      </c>
      <c r="G499" s="85"/>
      <c r="H499" s="84" t="str">
        <f t="shared" si="395"/>
        <v/>
      </c>
      <c r="I499" s="15" t="str">
        <f t="shared" si="396"/>
        <v/>
      </c>
      <c r="J499" s="26"/>
      <c r="K499" s="26"/>
      <c r="L499" s="7">
        <f t="shared" si="397"/>
        <v>0</v>
      </c>
      <c r="M499" s="24">
        <f t="shared" si="398"/>
        <v>0</v>
      </c>
      <c r="N499" s="12">
        <v>0</v>
      </c>
      <c r="O499" s="12">
        <v>0</v>
      </c>
      <c r="P499" s="12">
        <v>0</v>
      </c>
      <c r="Q499" s="16"/>
      <c r="R499" s="16"/>
    </row>
    <row r="500" spans="2:18" ht="40.200000000000003" customHeight="1" x14ac:dyDescent="0.4">
      <c r="B500" s="104"/>
      <c r="C500" s="3"/>
      <c r="D500" s="11"/>
      <c r="E500" s="103" t="s">
        <v>35</v>
      </c>
      <c r="F500" s="13">
        <f t="shared" si="394"/>
        <v>0</v>
      </c>
      <c r="G500" s="85"/>
      <c r="H500" s="84" t="str">
        <f t="shared" si="395"/>
        <v/>
      </c>
      <c r="I500" s="15" t="str">
        <f t="shared" si="396"/>
        <v/>
      </c>
      <c r="J500" s="26"/>
      <c r="K500" s="26"/>
      <c r="L500" s="7">
        <f t="shared" si="397"/>
        <v>0</v>
      </c>
      <c r="M500" s="24">
        <f t="shared" si="398"/>
        <v>0</v>
      </c>
      <c r="N500" s="12">
        <v>0</v>
      </c>
      <c r="O500" s="12">
        <v>0</v>
      </c>
      <c r="P500" s="12">
        <v>0</v>
      </c>
      <c r="Q500" s="16"/>
      <c r="R500" s="16"/>
    </row>
    <row r="501" spans="2:18" ht="40.200000000000003" customHeight="1" x14ac:dyDescent="0.4">
      <c r="B501" s="114"/>
      <c r="C501" s="3"/>
      <c r="D501" s="11"/>
      <c r="E501" s="105" t="s">
        <v>35</v>
      </c>
      <c r="F501" s="13">
        <f t="shared" ref="F501:F503" si="399">G501</f>
        <v>0</v>
      </c>
      <c r="G501" s="85"/>
      <c r="H501" s="84" t="str">
        <f t="shared" ref="H501:H503" si="400">IF(G501="","",(G501))</f>
        <v/>
      </c>
      <c r="I501" s="15" t="str">
        <f t="shared" ref="I501:I503" si="401">IF(H501="","",(H501+I500-J501))</f>
        <v/>
      </c>
      <c r="J501" s="26"/>
      <c r="K501" s="26"/>
      <c r="L501" s="7">
        <f t="shared" ref="L501:L503" si="402">C501</f>
        <v>0</v>
      </c>
      <c r="M501" s="24">
        <f t="shared" ref="M501:M503" si="403">G501</f>
        <v>0</v>
      </c>
      <c r="N501" s="12">
        <v>0</v>
      </c>
      <c r="O501" s="12">
        <v>0</v>
      </c>
      <c r="P501" s="12">
        <v>0</v>
      </c>
      <c r="Q501" s="16"/>
      <c r="R501" s="16"/>
    </row>
    <row r="502" spans="2:18" ht="40.200000000000003" customHeight="1" x14ac:dyDescent="0.4">
      <c r="B502" s="114"/>
      <c r="C502" s="3"/>
      <c r="D502" s="11"/>
      <c r="E502" s="105" t="s">
        <v>35</v>
      </c>
      <c r="F502" s="13">
        <f t="shared" si="399"/>
        <v>0</v>
      </c>
      <c r="G502" s="85"/>
      <c r="H502" s="84" t="str">
        <f t="shared" si="400"/>
        <v/>
      </c>
      <c r="I502" s="15" t="str">
        <f t="shared" si="401"/>
        <v/>
      </c>
      <c r="J502" s="26"/>
      <c r="K502" s="26"/>
      <c r="L502" s="7">
        <f t="shared" si="402"/>
        <v>0</v>
      </c>
      <c r="M502" s="24">
        <f t="shared" si="403"/>
        <v>0</v>
      </c>
      <c r="N502" s="12">
        <v>0</v>
      </c>
      <c r="O502" s="12">
        <v>0</v>
      </c>
      <c r="P502" s="12">
        <v>0</v>
      </c>
      <c r="Q502" s="16"/>
      <c r="R502" s="16"/>
    </row>
    <row r="503" spans="2:18" ht="40.200000000000003" customHeight="1" x14ac:dyDescent="0.4">
      <c r="B503" s="114"/>
      <c r="C503" s="3"/>
      <c r="D503" s="11"/>
      <c r="E503" s="105" t="s">
        <v>35</v>
      </c>
      <c r="F503" s="13">
        <f t="shared" si="399"/>
        <v>0</v>
      </c>
      <c r="G503" s="85"/>
      <c r="H503" s="84" t="str">
        <f t="shared" si="400"/>
        <v/>
      </c>
      <c r="I503" s="15" t="str">
        <f t="shared" si="401"/>
        <v/>
      </c>
      <c r="J503" s="26"/>
      <c r="K503" s="26"/>
      <c r="L503" s="7">
        <f t="shared" si="402"/>
        <v>0</v>
      </c>
      <c r="M503" s="24">
        <f t="shared" si="403"/>
        <v>0</v>
      </c>
      <c r="N503" s="12">
        <v>0</v>
      </c>
      <c r="O503" s="12">
        <v>0</v>
      </c>
      <c r="P503" s="12">
        <v>0</v>
      </c>
      <c r="Q503" s="16"/>
      <c r="R503" s="16"/>
    </row>
    <row r="504" spans="2:18" ht="40.200000000000003" customHeight="1" x14ac:dyDescent="0.4">
      <c r="B504" s="114"/>
      <c r="C504" s="3"/>
      <c r="D504" s="11"/>
      <c r="E504" s="113" t="s">
        <v>35</v>
      </c>
      <c r="F504" s="13">
        <f t="shared" ref="F504:F509" si="404">G504</f>
        <v>0</v>
      </c>
      <c r="G504" s="85"/>
      <c r="H504" s="84" t="str">
        <f t="shared" ref="H504:H509" si="405">IF(G504="","",(G504))</f>
        <v/>
      </c>
      <c r="I504" s="15" t="str">
        <f t="shared" ref="I504:I509" si="406">IF(H504="","",(H504+I503-J504))</f>
        <v/>
      </c>
      <c r="J504" s="26"/>
      <c r="K504" s="26"/>
      <c r="L504" s="7">
        <f t="shared" ref="L504:L509" si="407">C504</f>
        <v>0</v>
      </c>
      <c r="M504" s="24">
        <f t="shared" ref="M504:M509" si="408">G504</f>
        <v>0</v>
      </c>
      <c r="N504" s="12">
        <v>0</v>
      </c>
      <c r="O504" s="12">
        <v>0</v>
      </c>
      <c r="P504" s="12">
        <v>0</v>
      </c>
      <c r="Q504" s="16"/>
      <c r="R504" s="16"/>
    </row>
    <row r="505" spans="2:18" ht="40.200000000000003" customHeight="1" x14ac:dyDescent="0.4">
      <c r="B505" s="114"/>
      <c r="C505" s="3"/>
      <c r="D505" s="11"/>
      <c r="E505" s="113" t="s">
        <v>35</v>
      </c>
      <c r="F505" s="13">
        <f t="shared" si="404"/>
        <v>0</v>
      </c>
      <c r="G505" s="85"/>
      <c r="H505" s="84" t="str">
        <f t="shared" si="405"/>
        <v/>
      </c>
      <c r="I505" s="15" t="str">
        <f t="shared" si="406"/>
        <v/>
      </c>
      <c r="J505" s="26"/>
      <c r="K505" s="26"/>
      <c r="L505" s="7">
        <f t="shared" si="407"/>
        <v>0</v>
      </c>
      <c r="M505" s="24">
        <f t="shared" si="408"/>
        <v>0</v>
      </c>
      <c r="N505" s="12">
        <v>0</v>
      </c>
      <c r="O505" s="12">
        <v>0</v>
      </c>
      <c r="P505" s="12">
        <v>0</v>
      </c>
      <c r="Q505" s="16"/>
      <c r="R505" s="16"/>
    </row>
    <row r="506" spans="2:18" ht="40.200000000000003" customHeight="1" x14ac:dyDescent="0.4">
      <c r="B506" s="114"/>
      <c r="C506" s="3"/>
      <c r="D506" s="11"/>
      <c r="E506" s="113" t="s">
        <v>35</v>
      </c>
      <c r="F506" s="13">
        <f t="shared" si="404"/>
        <v>0</v>
      </c>
      <c r="G506" s="85"/>
      <c r="H506" s="84" t="str">
        <f t="shared" si="405"/>
        <v/>
      </c>
      <c r="I506" s="15" t="str">
        <f t="shared" si="406"/>
        <v/>
      </c>
      <c r="J506" s="26"/>
      <c r="K506" s="26"/>
      <c r="L506" s="7">
        <f t="shared" si="407"/>
        <v>0</v>
      </c>
      <c r="M506" s="24">
        <f t="shared" si="408"/>
        <v>0</v>
      </c>
      <c r="N506" s="12">
        <v>0</v>
      </c>
      <c r="O506" s="12">
        <v>0</v>
      </c>
      <c r="P506" s="12">
        <v>0</v>
      </c>
      <c r="Q506" s="16"/>
      <c r="R506" s="16"/>
    </row>
    <row r="507" spans="2:18" ht="40.200000000000003" customHeight="1" x14ac:dyDescent="0.4">
      <c r="B507" s="116"/>
      <c r="C507" s="3"/>
      <c r="D507" s="11"/>
      <c r="E507" s="115" t="s">
        <v>35</v>
      </c>
      <c r="F507" s="13">
        <f t="shared" si="404"/>
        <v>0</v>
      </c>
      <c r="G507" s="85"/>
      <c r="H507" s="84" t="str">
        <f t="shared" si="405"/>
        <v/>
      </c>
      <c r="I507" s="15" t="str">
        <f t="shared" si="406"/>
        <v/>
      </c>
      <c r="J507" s="26"/>
      <c r="K507" s="26"/>
      <c r="L507" s="7">
        <f t="shared" si="407"/>
        <v>0</v>
      </c>
      <c r="M507" s="24">
        <f t="shared" si="408"/>
        <v>0</v>
      </c>
      <c r="N507" s="12">
        <v>0</v>
      </c>
      <c r="O507" s="12">
        <v>0</v>
      </c>
      <c r="P507" s="12">
        <v>0</v>
      </c>
      <c r="Q507" s="16"/>
      <c r="R507" s="16"/>
    </row>
    <row r="508" spans="2:18" ht="40.200000000000003" customHeight="1" x14ac:dyDescent="0.4">
      <c r="B508" s="116"/>
      <c r="C508" s="3"/>
      <c r="D508" s="11"/>
      <c r="E508" s="115" t="s">
        <v>35</v>
      </c>
      <c r="F508" s="13">
        <f t="shared" si="404"/>
        <v>0</v>
      </c>
      <c r="G508" s="85"/>
      <c r="H508" s="84" t="str">
        <f t="shared" si="405"/>
        <v/>
      </c>
      <c r="I508" s="15" t="str">
        <f t="shared" si="406"/>
        <v/>
      </c>
      <c r="J508" s="26"/>
      <c r="K508" s="26"/>
      <c r="L508" s="7">
        <f t="shared" si="407"/>
        <v>0</v>
      </c>
      <c r="M508" s="24">
        <f t="shared" si="408"/>
        <v>0</v>
      </c>
      <c r="N508" s="12">
        <v>0</v>
      </c>
      <c r="O508" s="12">
        <v>0</v>
      </c>
      <c r="P508" s="12">
        <v>0</v>
      </c>
      <c r="Q508" s="16"/>
      <c r="R508" s="16"/>
    </row>
    <row r="509" spans="2:18" ht="40.200000000000003" customHeight="1" x14ac:dyDescent="0.4">
      <c r="B509" s="116"/>
      <c r="C509" s="3"/>
      <c r="D509" s="11"/>
      <c r="E509" s="115" t="s">
        <v>35</v>
      </c>
      <c r="F509" s="13">
        <f t="shared" si="404"/>
        <v>0</v>
      </c>
      <c r="G509" s="85"/>
      <c r="H509" s="84" t="str">
        <f t="shared" si="405"/>
        <v/>
      </c>
      <c r="I509" s="15" t="str">
        <f t="shared" si="406"/>
        <v/>
      </c>
      <c r="J509" s="26"/>
      <c r="K509" s="26"/>
      <c r="L509" s="7">
        <f t="shared" si="407"/>
        <v>0</v>
      </c>
      <c r="M509" s="24">
        <f t="shared" si="408"/>
        <v>0</v>
      </c>
      <c r="N509" s="12">
        <v>0</v>
      </c>
      <c r="O509" s="12">
        <v>0</v>
      </c>
      <c r="P509" s="12">
        <v>0</v>
      </c>
      <c r="Q509" s="16"/>
      <c r="R509" s="16"/>
    </row>
    <row r="510" spans="2:18" ht="40.200000000000003" customHeight="1" x14ac:dyDescent="0.4">
      <c r="B510" s="116"/>
      <c r="C510" s="3"/>
      <c r="D510" s="11"/>
      <c r="E510" s="115" t="s">
        <v>35</v>
      </c>
      <c r="F510" s="13">
        <f t="shared" ref="F510:F513" si="409">G510</f>
        <v>0</v>
      </c>
      <c r="G510" s="85"/>
      <c r="H510" s="84" t="str">
        <f t="shared" ref="H510:H513" si="410">IF(G510="","",(G510))</f>
        <v/>
      </c>
      <c r="I510" s="15" t="str">
        <f t="shared" ref="I510:I513" si="411">IF(H510="","",(H510+I509-J510))</f>
        <v/>
      </c>
      <c r="J510" s="26"/>
      <c r="K510" s="26"/>
      <c r="L510" s="7">
        <f t="shared" ref="L510:L513" si="412">C510</f>
        <v>0</v>
      </c>
      <c r="M510" s="24">
        <f t="shared" ref="M510:M513" si="413">G510</f>
        <v>0</v>
      </c>
      <c r="N510" s="12">
        <v>0</v>
      </c>
      <c r="O510" s="12">
        <v>0</v>
      </c>
      <c r="P510" s="12">
        <v>0</v>
      </c>
      <c r="Q510" s="16"/>
      <c r="R510" s="16"/>
    </row>
    <row r="511" spans="2:18" ht="40.200000000000003" customHeight="1" x14ac:dyDescent="0.4">
      <c r="B511" s="119"/>
      <c r="C511" s="3"/>
      <c r="D511" s="11"/>
      <c r="E511" s="117" t="s">
        <v>35</v>
      </c>
      <c r="F511" s="13">
        <f t="shared" si="409"/>
        <v>0</v>
      </c>
      <c r="G511" s="85"/>
      <c r="H511" s="84" t="str">
        <f t="shared" si="410"/>
        <v/>
      </c>
      <c r="I511" s="15" t="str">
        <f t="shared" si="411"/>
        <v/>
      </c>
      <c r="J511" s="26"/>
      <c r="K511" s="26"/>
      <c r="L511" s="7">
        <f t="shared" si="412"/>
        <v>0</v>
      </c>
      <c r="M511" s="24">
        <f t="shared" si="413"/>
        <v>0</v>
      </c>
      <c r="N511" s="12">
        <v>0</v>
      </c>
      <c r="O511" s="12">
        <v>0</v>
      </c>
      <c r="P511" s="12">
        <v>0</v>
      </c>
      <c r="Q511" s="16"/>
      <c r="R511" s="16"/>
    </row>
    <row r="512" spans="2:18" ht="40.200000000000003" customHeight="1" x14ac:dyDescent="0.4">
      <c r="B512" s="119"/>
      <c r="C512" s="3"/>
      <c r="D512" s="11"/>
      <c r="E512" s="117" t="s">
        <v>35</v>
      </c>
      <c r="F512" s="13">
        <f t="shared" si="409"/>
        <v>0</v>
      </c>
      <c r="G512" s="85"/>
      <c r="H512" s="84" t="str">
        <f t="shared" si="410"/>
        <v/>
      </c>
      <c r="I512" s="15" t="str">
        <f t="shared" si="411"/>
        <v/>
      </c>
      <c r="J512" s="26"/>
      <c r="K512" s="26"/>
      <c r="L512" s="7">
        <f t="shared" si="412"/>
        <v>0</v>
      </c>
      <c r="M512" s="24">
        <f t="shared" si="413"/>
        <v>0</v>
      </c>
      <c r="N512" s="12">
        <v>0</v>
      </c>
      <c r="O512" s="12">
        <v>0</v>
      </c>
      <c r="P512" s="12">
        <v>0</v>
      </c>
      <c r="Q512" s="16"/>
      <c r="R512" s="16"/>
    </row>
    <row r="513" spans="2:18" ht="40.200000000000003" customHeight="1" x14ac:dyDescent="0.4">
      <c r="B513" s="119"/>
      <c r="C513" s="3"/>
      <c r="D513" s="11"/>
      <c r="E513" s="117" t="s">
        <v>35</v>
      </c>
      <c r="F513" s="13">
        <f t="shared" si="409"/>
        <v>0</v>
      </c>
      <c r="G513" s="85"/>
      <c r="H513" s="84" t="str">
        <f t="shared" si="410"/>
        <v/>
      </c>
      <c r="I513" s="15" t="str">
        <f t="shared" si="411"/>
        <v/>
      </c>
      <c r="J513" s="26"/>
      <c r="K513" s="26"/>
      <c r="L513" s="7">
        <f t="shared" si="412"/>
        <v>0</v>
      </c>
      <c r="M513" s="24">
        <f t="shared" si="413"/>
        <v>0</v>
      </c>
      <c r="N513" s="12">
        <v>0</v>
      </c>
      <c r="O513" s="12">
        <v>0</v>
      </c>
      <c r="P513" s="12">
        <v>0</v>
      </c>
      <c r="Q513" s="16"/>
      <c r="R513" s="16"/>
    </row>
    <row r="514" spans="2:18" ht="40.200000000000003" customHeight="1" x14ac:dyDescent="0.4">
      <c r="B514" s="119"/>
      <c r="C514" s="3"/>
      <c r="D514" s="11"/>
      <c r="E514" s="118" t="s">
        <v>35</v>
      </c>
      <c r="F514" s="13">
        <f t="shared" ref="F514:F517" si="414">G514</f>
        <v>0</v>
      </c>
      <c r="G514" s="85"/>
      <c r="H514" s="84" t="str">
        <f t="shared" ref="H514:H517" si="415">IF(G514="","",(G514))</f>
        <v/>
      </c>
      <c r="I514" s="15" t="str">
        <f t="shared" ref="I514:I517" si="416">IF(H514="","",(H514+I513-J514))</f>
        <v/>
      </c>
      <c r="J514" s="26"/>
      <c r="K514" s="26"/>
      <c r="L514" s="7">
        <f t="shared" ref="L514:L517" si="417">C514</f>
        <v>0</v>
      </c>
      <c r="M514" s="24">
        <f t="shared" ref="M514:M517" si="418">G514</f>
        <v>0</v>
      </c>
      <c r="N514" s="12">
        <v>0</v>
      </c>
      <c r="O514" s="12">
        <v>0</v>
      </c>
      <c r="P514" s="12">
        <v>0</v>
      </c>
      <c r="Q514" s="16"/>
      <c r="R514" s="16"/>
    </row>
    <row r="515" spans="2:18" ht="40.200000000000003" customHeight="1" x14ac:dyDescent="0.4">
      <c r="B515" s="119"/>
      <c r="C515" s="3"/>
      <c r="D515" s="11"/>
      <c r="E515" s="118" t="s">
        <v>35</v>
      </c>
      <c r="F515" s="13">
        <f t="shared" si="414"/>
        <v>0</v>
      </c>
      <c r="G515" s="85"/>
      <c r="H515" s="84" t="str">
        <f t="shared" si="415"/>
        <v/>
      </c>
      <c r="I515" s="15" t="str">
        <f t="shared" si="416"/>
        <v/>
      </c>
      <c r="J515" s="26"/>
      <c r="K515" s="26"/>
      <c r="L515" s="7">
        <f t="shared" si="417"/>
        <v>0</v>
      </c>
      <c r="M515" s="24">
        <f t="shared" si="418"/>
        <v>0</v>
      </c>
      <c r="N515" s="12">
        <v>0</v>
      </c>
      <c r="O515" s="12">
        <v>0</v>
      </c>
      <c r="P515" s="12">
        <v>0</v>
      </c>
      <c r="Q515" s="16"/>
      <c r="R515" s="16"/>
    </row>
    <row r="516" spans="2:18" ht="40.200000000000003" customHeight="1" x14ac:dyDescent="0.4">
      <c r="B516" s="119"/>
      <c r="C516" s="3"/>
      <c r="D516" s="11"/>
      <c r="E516" s="118" t="s">
        <v>35</v>
      </c>
      <c r="F516" s="13">
        <f t="shared" si="414"/>
        <v>0</v>
      </c>
      <c r="G516" s="85"/>
      <c r="H516" s="84" t="str">
        <f t="shared" si="415"/>
        <v/>
      </c>
      <c r="I516" s="15" t="str">
        <f t="shared" si="416"/>
        <v/>
      </c>
      <c r="J516" s="26"/>
      <c r="K516" s="26"/>
      <c r="L516" s="7">
        <f t="shared" si="417"/>
        <v>0</v>
      </c>
      <c r="M516" s="24">
        <f t="shared" si="418"/>
        <v>0</v>
      </c>
      <c r="N516" s="12">
        <v>0</v>
      </c>
      <c r="O516" s="12">
        <v>0</v>
      </c>
      <c r="P516" s="12">
        <v>0</v>
      </c>
      <c r="Q516" s="16"/>
      <c r="R516" s="16"/>
    </row>
    <row r="517" spans="2:18" ht="40.200000000000003" customHeight="1" x14ac:dyDescent="0.4">
      <c r="B517" s="119"/>
      <c r="C517" s="3"/>
      <c r="D517" s="11"/>
      <c r="E517" s="118" t="s">
        <v>35</v>
      </c>
      <c r="F517" s="13">
        <f t="shared" si="414"/>
        <v>0</v>
      </c>
      <c r="G517" s="85"/>
      <c r="H517" s="84" t="str">
        <f t="shared" si="415"/>
        <v/>
      </c>
      <c r="I517" s="15" t="str">
        <f t="shared" si="416"/>
        <v/>
      </c>
      <c r="J517" s="26"/>
      <c r="K517" s="26"/>
      <c r="L517" s="7">
        <f t="shared" si="417"/>
        <v>0</v>
      </c>
      <c r="M517" s="24">
        <f t="shared" si="418"/>
        <v>0</v>
      </c>
      <c r="N517" s="12">
        <v>0</v>
      </c>
      <c r="O517" s="12">
        <v>0</v>
      </c>
      <c r="P517" s="12">
        <v>0</v>
      </c>
      <c r="Q517" s="16"/>
      <c r="R517" s="16"/>
    </row>
    <row r="518" spans="2:18" ht="40.200000000000003" customHeight="1" x14ac:dyDescent="0.4">
      <c r="B518" s="121"/>
      <c r="C518" s="3"/>
      <c r="D518" s="11"/>
      <c r="E518" s="120" t="s">
        <v>35</v>
      </c>
      <c r="F518" s="13">
        <f t="shared" ref="F518:F520" si="419">G518</f>
        <v>0</v>
      </c>
      <c r="G518" s="85"/>
      <c r="H518" s="84" t="str">
        <f t="shared" ref="H518:H520" si="420">IF(G518="","",(G518))</f>
        <v/>
      </c>
      <c r="I518" s="15" t="str">
        <f t="shared" ref="I518:I520" si="421">IF(H518="","",(H518+I517-J518))</f>
        <v/>
      </c>
      <c r="J518" s="26"/>
      <c r="K518" s="26"/>
      <c r="L518" s="7">
        <f t="shared" ref="L518:L520" si="422">C518</f>
        <v>0</v>
      </c>
      <c r="M518" s="24">
        <f t="shared" ref="M518:M520" si="423">G518</f>
        <v>0</v>
      </c>
      <c r="N518" s="12">
        <v>0</v>
      </c>
      <c r="O518" s="12">
        <v>0</v>
      </c>
      <c r="P518" s="12">
        <v>0</v>
      </c>
      <c r="Q518" s="16"/>
      <c r="R518" s="16"/>
    </row>
    <row r="519" spans="2:18" ht="40.200000000000003" customHeight="1" x14ac:dyDescent="0.4">
      <c r="B519" s="121"/>
      <c r="C519" s="3"/>
      <c r="D519" s="11"/>
      <c r="E519" s="120" t="s">
        <v>35</v>
      </c>
      <c r="F519" s="13">
        <f t="shared" si="419"/>
        <v>0</v>
      </c>
      <c r="G519" s="85"/>
      <c r="H519" s="84" t="str">
        <f t="shared" si="420"/>
        <v/>
      </c>
      <c r="I519" s="15" t="str">
        <f t="shared" si="421"/>
        <v/>
      </c>
      <c r="J519" s="26"/>
      <c r="K519" s="26"/>
      <c r="L519" s="7">
        <f t="shared" si="422"/>
        <v>0</v>
      </c>
      <c r="M519" s="24">
        <f t="shared" si="423"/>
        <v>0</v>
      </c>
      <c r="N519" s="12">
        <v>0</v>
      </c>
      <c r="O519" s="12">
        <v>0</v>
      </c>
      <c r="P519" s="12">
        <v>0</v>
      </c>
      <c r="Q519" s="16"/>
      <c r="R519" s="16"/>
    </row>
    <row r="520" spans="2:18" ht="40.200000000000003" customHeight="1" x14ac:dyDescent="0.4">
      <c r="B520" s="121"/>
      <c r="C520" s="3"/>
      <c r="D520" s="11"/>
      <c r="E520" s="120" t="s">
        <v>35</v>
      </c>
      <c r="F520" s="13">
        <f t="shared" si="419"/>
        <v>0</v>
      </c>
      <c r="G520" s="85"/>
      <c r="H520" s="84" t="str">
        <f t="shared" si="420"/>
        <v/>
      </c>
      <c r="I520" s="15" t="str">
        <f t="shared" si="421"/>
        <v/>
      </c>
      <c r="J520" s="26"/>
      <c r="K520" s="26"/>
      <c r="L520" s="7">
        <f t="shared" si="422"/>
        <v>0</v>
      </c>
      <c r="M520" s="24">
        <f t="shared" si="423"/>
        <v>0</v>
      </c>
      <c r="N520" s="12">
        <v>0</v>
      </c>
      <c r="O520" s="12">
        <v>0</v>
      </c>
      <c r="P520" s="12">
        <v>0</v>
      </c>
      <c r="Q520" s="16"/>
      <c r="R520" s="16"/>
    </row>
    <row r="521" spans="2:18" ht="40.200000000000003" customHeight="1" x14ac:dyDescent="0.4">
      <c r="B521" s="124"/>
      <c r="C521" s="3"/>
      <c r="D521" s="11"/>
      <c r="E521" s="123" t="s">
        <v>35</v>
      </c>
      <c r="F521" s="13">
        <f t="shared" ref="F521:F526" si="424">G521</f>
        <v>0</v>
      </c>
      <c r="G521" s="85"/>
      <c r="H521" s="84" t="str">
        <f t="shared" ref="H521:H526" si="425">IF(G521="","",(G521))</f>
        <v/>
      </c>
      <c r="I521" s="15" t="str">
        <f t="shared" ref="I521:I526" si="426">IF(H521="","",(H521+I520-J521))</f>
        <v/>
      </c>
      <c r="J521" s="26"/>
      <c r="K521" s="26"/>
      <c r="L521" s="7">
        <f t="shared" ref="L521:L526" si="427">C521</f>
        <v>0</v>
      </c>
      <c r="M521" s="24">
        <f t="shared" ref="M521:M526" si="428">G521</f>
        <v>0</v>
      </c>
      <c r="N521" s="12">
        <v>0</v>
      </c>
      <c r="O521" s="12">
        <v>0</v>
      </c>
      <c r="P521" s="12">
        <v>0</v>
      </c>
      <c r="Q521" s="16"/>
      <c r="R521" s="16"/>
    </row>
    <row r="522" spans="2:18" ht="40.200000000000003" customHeight="1" x14ac:dyDescent="0.4">
      <c r="B522" s="124"/>
      <c r="C522" s="3"/>
      <c r="D522" s="11"/>
      <c r="E522" s="123" t="s">
        <v>35</v>
      </c>
      <c r="F522" s="13">
        <f t="shared" si="424"/>
        <v>0</v>
      </c>
      <c r="G522" s="85"/>
      <c r="H522" s="84" t="str">
        <f t="shared" si="425"/>
        <v/>
      </c>
      <c r="I522" s="15" t="str">
        <f t="shared" si="426"/>
        <v/>
      </c>
      <c r="J522" s="26"/>
      <c r="K522" s="26"/>
      <c r="L522" s="7">
        <f t="shared" si="427"/>
        <v>0</v>
      </c>
      <c r="M522" s="24">
        <f t="shared" si="428"/>
        <v>0</v>
      </c>
      <c r="N522" s="12">
        <v>0</v>
      </c>
      <c r="O522" s="12">
        <v>0</v>
      </c>
      <c r="P522" s="12">
        <v>0</v>
      </c>
      <c r="Q522" s="16"/>
      <c r="R522" s="16"/>
    </row>
    <row r="523" spans="2:18" ht="40.200000000000003" customHeight="1" x14ac:dyDescent="0.4">
      <c r="B523" s="124"/>
      <c r="C523" s="3"/>
      <c r="D523" s="11"/>
      <c r="E523" s="123" t="s">
        <v>35</v>
      </c>
      <c r="F523" s="13">
        <f t="shared" si="424"/>
        <v>0</v>
      </c>
      <c r="G523" s="85"/>
      <c r="H523" s="84" t="str">
        <f t="shared" si="425"/>
        <v/>
      </c>
      <c r="I523" s="15" t="str">
        <f t="shared" si="426"/>
        <v/>
      </c>
      <c r="J523" s="26"/>
      <c r="K523" s="26"/>
      <c r="L523" s="7">
        <f t="shared" si="427"/>
        <v>0</v>
      </c>
      <c r="M523" s="24">
        <f t="shared" si="428"/>
        <v>0</v>
      </c>
      <c r="N523" s="12">
        <v>0</v>
      </c>
      <c r="O523" s="12">
        <v>0</v>
      </c>
      <c r="P523" s="12">
        <v>0</v>
      </c>
      <c r="Q523" s="16"/>
      <c r="R523" s="16"/>
    </row>
    <row r="524" spans="2:18" ht="40.200000000000003" customHeight="1" x14ac:dyDescent="0.4">
      <c r="B524" s="126"/>
      <c r="C524" s="3"/>
      <c r="D524" s="11"/>
      <c r="E524" s="125" t="s">
        <v>35</v>
      </c>
      <c r="F524" s="13">
        <f t="shared" si="424"/>
        <v>0</v>
      </c>
      <c r="G524" s="85"/>
      <c r="H524" s="84" t="str">
        <f t="shared" si="425"/>
        <v/>
      </c>
      <c r="I524" s="15" t="str">
        <f t="shared" si="426"/>
        <v/>
      </c>
      <c r="J524" s="26"/>
      <c r="K524" s="26"/>
      <c r="L524" s="7">
        <f t="shared" si="427"/>
        <v>0</v>
      </c>
      <c r="M524" s="24">
        <f t="shared" si="428"/>
        <v>0</v>
      </c>
      <c r="N524" s="12">
        <v>0</v>
      </c>
      <c r="O524" s="12">
        <v>0</v>
      </c>
      <c r="P524" s="12">
        <v>0</v>
      </c>
      <c r="Q524" s="16"/>
      <c r="R524" s="16"/>
    </row>
    <row r="525" spans="2:18" ht="40.200000000000003" customHeight="1" x14ac:dyDescent="0.4">
      <c r="B525" s="126"/>
      <c r="C525" s="3"/>
      <c r="D525" s="11"/>
      <c r="E525" s="125" t="s">
        <v>35</v>
      </c>
      <c r="F525" s="13">
        <f t="shared" si="424"/>
        <v>0</v>
      </c>
      <c r="G525" s="85"/>
      <c r="H525" s="84" t="str">
        <f t="shared" si="425"/>
        <v/>
      </c>
      <c r="I525" s="15" t="str">
        <f t="shared" si="426"/>
        <v/>
      </c>
      <c r="J525" s="26"/>
      <c r="K525" s="26"/>
      <c r="L525" s="7">
        <f t="shared" si="427"/>
        <v>0</v>
      </c>
      <c r="M525" s="24">
        <f t="shared" si="428"/>
        <v>0</v>
      </c>
      <c r="N525" s="12">
        <v>0</v>
      </c>
      <c r="O525" s="12">
        <v>0</v>
      </c>
      <c r="P525" s="12">
        <v>0</v>
      </c>
      <c r="Q525" s="16"/>
      <c r="R525" s="16"/>
    </row>
    <row r="526" spans="2:18" ht="40.200000000000003" customHeight="1" x14ac:dyDescent="0.4">
      <c r="B526" s="126"/>
      <c r="C526" s="3"/>
      <c r="D526" s="11"/>
      <c r="E526" s="125" t="s">
        <v>35</v>
      </c>
      <c r="F526" s="13">
        <f t="shared" si="424"/>
        <v>0</v>
      </c>
      <c r="G526" s="85"/>
      <c r="H526" s="84" t="str">
        <f t="shared" si="425"/>
        <v/>
      </c>
      <c r="I526" s="15" t="str">
        <f t="shared" si="426"/>
        <v/>
      </c>
      <c r="J526" s="26"/>
      <c r="K526" s="26"/>
      <c r="L526" s="7">
        <f t="shared" si="427"/>
        <v>0</v>
      </c>
      <c r="M526" s="24">
        <f t="shared" si="428"/>
        <v>0</v>
      </c>
      <c r="N526" s="12">
        <v>0</v>
      </c>
      <c r="O526" s="12">
        <v>0</v>
      </c>
      <c r="P526" s="12">
        <v>0</v>
      </c>
      <c r="Q526" s="16"/>
      <c r="R526" s="16"/>
    </row>
    <row r="527" spans="2:18" ht="40.200000000000003" customHeight="1" x14ac:dyDescent="0.4">
      <c r="B527" s="126"/>
      <c r="C527" s="3"/>
      <c r="D527" s="11"/>
      <c r="E527" s="127" t="s">
        <v>35</v>
      </c>
      <c r="F527" s="13">
        <f t="shared" ref="F527:F529" si="429">G527</f>
        <v>0</v>
      </c>
      <c r="G527" s="85"/>
      <c r="H527" s="84" t="str">
        <f t="shared" ref="H527:H529" si="430">IF(G527="","",(G527))</f>
        <v/>
      </c>
      <c r="I527" s="15" t="str">
        <f t="shared" ref="I527:I529" si="431">IF(H527="","",(H527+I526-J527))</f>
        <v/>
      </c>
      <c r="J527" s="26"/>
      <c r="K527" s="26"/>
      <c r="L527" s="7">
        <f t="shared" ref="L527:L529" si="432">C527</f>
        <v>0</v>
      </c>
      <c r="M527" s="24">
        <f t="shared" ref="M527:M529" si="433">G527</f>
        <v>0</v>
      </c>
      <c r="N527" s="12">
        <v>0</v>
      </c>
      <c r="O527" s="12">
        <v>0</v>
      </c>
      <c r="P527" s="12">
        <v>0</v>
      </c>
      <c r="Q527" s="16"/>
      <c r="R527" s="16"/>
    </row>
    <row r="528" spans="2:18" ht="40.200000000000003" customHeight="1" x14ac:dyDescent="0.4">
      <c r="B528" s="126"/>
      <c r="C528" s="3"/>
      <c r="D528" s="11"/>
      <c r="E528" s="127" t="s">
        <v>35</v>
      </c>
      <c r="F528" s="13">
        <f t="shared" si="429"/>
        <v>0</v>
      </c>
      <c r="G528" s="85"/>
      <c r="H528" s="84" t="str">
        <f t="shared" si="430"/>
        <v/>
      </c>
      <c r="I528" s="15" t="str">
        <f t="shared" si="431"/>
        <v/>
      </c>
      <c r="J528" s="26"/>
      <c r="K528" s="26"/>
      <c r="L528" s="7">
        <f t="shared" si="432"/>
        <v>0</v>
      </c>
      <c r="M528" s="24">
        <f t="shared" si="433"/>
        <v>0</v>
      </c>
      <c r="N528" s="12">
        <v>0</v>
      </c>
      <c r="O528" s="12">
        <v>0</v>
      </c>
      <c r="P528" s="12">
        <v>0</v>
      </c>
      <c r="Q528" s="16"/>
      <c r="R528" s="16"/>
    </row>
    <row r="529" spans="2:18" ht="40.200000000000003" customHeight="1" x14ac:dyDescent="0.4">
      <c r="B529" s="126"/>
      <c r="C529" s="3"/>
      <c r="D529" s="11"/>
      <c r="E529" s="127" t="s">
        <v>35</v>
      </c>
      <c r="F529" s="13">
        <f t="shared" si="429"/>
        <v>0</v>
      </c>
      <c r="G529" s="85"/>
      <c r="H529" s="84" t="str">
        <f t="shared" si="430"/>
        <v/>
      </c>
      <c r="I529" s="15" t="str">
        <f t="shared" si="431"/>
        <v/>
      </c>
      <c r="J529" s="26"/>
      <c r="K529" s="26"/>
      <c r="L529" s="7">
        <f t="shared" si="432"/>
        <v>0</v>
      </c>
      <c r="M529" s="24">
        <f t="shared" si="433"/>
        <v>0</v>
      </c>
      <c r="N529" s="12">
        <v>0</v>
      </c>
      <c r="O529" s="12">
        <v>0</v>
      </c>
      <c r="P529" s="12">
        <v>0</v>
      </c>
      <c r="Q529" s="16"/>
      <c r="R529" s="16"/>
    </row>
    <row r="530" spans="2:18" ht="40.200000000000003" customHeight="1" x14ac:dyDescent="0.4">
      <c r="B530" s="128"/>
      <c r="C530" s="3"/>
      <c r="D530" s="11"/>
      <c r="E530" s="129" t="s">
        <v>35</v>
      </c>
      <c r="F530" s="13">
        <f t="shared" ref="F530:F537" si="434">G530</f>
        <v>0</v>
      </c>
      <c r="G530" s="85"/>
      <c r="H530" s="84" t="str">
        <f t="shared" ref="H530:H537" si="435">IF(G530="","",(G530))</f>
        <v/>
      </c>
      <c r="I530" s="15" t="str">
        <f t="shared" ref="I530:I540" si="436">IF(H530="","",(H530+I529-J530))</f>
        <v/>
      </c>
      <c r="J530" s="26"/>
      <c r="K530" s="26"/>
      <c r="L530" s="7">
        <f t="shared" ref="L530:L537" si="437">C530</f>
        <v>0</v>
      </c>
      <c r="M530" s="24">
        <f t="shared" ref="M530:M537" si="438">G530</f>
        <v>0</v>
      </c>
      <c r="N530" s="12">
        <v>0</v>
      </c>
      <c r="O530" s="12">
        <v>0</v>
      </c>
      <c r="P530" s="12">
        <v>0</v>
      </c>
      <c r="Q530" s="16"/>
      <c r="R530" s="16"/>
    </row>
    <row r="531" spans="2:18" ht="40.200000000000003" customHeight="1" x14ac:dyDescent="0.4">
      <c r="B531" s="128"/>
      <c r="C531" s="3"/>
      <c r="D531" s="11"/>
      <c r="E531" s="129" t="s">
        <v>35</v>
      </c>
      <c r="F531" s="13">
        <f t="shared" si="434"/>
        <v>0</v>
      </c>
      <c r="G531" s="85"/>
      <c r="H531" s="84" t="str">
        <f t="shared" si="435"/>
        <v/>
      </c>
      <c r="I531" s="15" t="str">
        <f t="shared" si="436"/>
        <v/>
      </c>
      <c r="J531" s="26"/>
      <c r="K531" s="26"/>
      <c r="L531" s="7">
        <f t="shared" si="437"/>
        <v>0</v>
      </c>
      <c r="M531" s="24">
        <f t="shared" si="438"/>
        <v>0</v>
      </c>
      <c r="N531" s="12">
        <v>0</v>
      </c>
      <c r="O531" s="12">
        <v>0</v>
      </c>
      <c r="P531" s="12">
        <v>0</v>
      </c>
      <c r="Q531" s="16"/>
      <c r="R531" s="16"/>
    </row>
    <row r="532" spans="2:18" ht="40.200000000000003" customHeight="1" x14ac:dyDescent="0.4">
      <c r="B532" s="128"/>
      <c r="C532" s="3"/>
      <c r="D532" s="11"/>
      <c r="E532" s="129" t="s">
        <v>35</v>
      </c>
      <c r="F532" s="13">
        <f t="shared" si="434"/>
        <v>0</v>
      </c>
      <c r="G532" s="85"/>
      <c r="H532" s="84" t="str">
        <f t="shared" si="435"/>
        <v/>
      </c>
      <c r="I532" s="15" t="str">
        <f t="shared" si="436"/>
        <v/>
      </c>
      <c r="J532" s="26"/>
      <c r="K532" s="26"/>
      <c r="L532" s="7">
        <f t="shared" si="437"/>
        <v>0</v>
      </c>
      <c r="M532" s="24">
        <f t="shared" si="438"/>
        <v>0</v>
      </c>
      <c r="N532" s="12">
        <v>0</v>
      </c>
      <c r="O532" s="12">
        <v>0</v>
      </c>
      <c r="P532" s="12">
        <v>0</v>
      </c>
      <c r="Q532" s="16"/>
      <c r="R532" s="16"/>
    </row>
    <row r="533" spans="2:18" ht="40.200000000000003" customHeight="1" x14ac:dyDescent="0.4">
      <c r="B533" s="128"/>
      <c r="C533" s="3"/>
      <c r="D533" s="11"/>
      <c r="E533" s="129" t="s">
        <v>35</v>
      </c>
      <c r="F533" s="13">
        <f t="shared" si="434"/>
        <v>0</v>
      </c>
      <c r="G533" s="85"/>
      <c r="H533" s="84" t="str">
        <f t="shared" si="435"/>
        <v/>
      </c>
      <c r="I533" s="15" t="str">
        <f t="shared" si="436"/>
        <v/>
      </c>
      <c r="J533" s="26"/>
      <c r="K533" s="26"/>
      <c r="L533" s="7">
        <f t="shared" si="437"/>
        <v>0</v>
      </c>
      <c r="M533" s="24">
        <f t="shared" si="438"/>
        <v>0</v>
      </c>
      <c r="N533" s="12">
        <v>0</v>
      </c>
      <c r="O533" s="12">
        <v>0</v>
      </c>
      <c r="P533" s="12">
        <v>0</v>
      </c>
      <c r="Q533" s="16"/>
      <c r="R533" s="16"/>
    </row>
    <row r="534" spans="2:18" ht="40.200000000000003" customHeight="1" x14ac:dyDescent="0.4">
      <c r="B534" s="128"/>
      <c r="C534" s="3"/>
      <c r="D534" s="11"/>
      <c r="E534" s="129" t="s">
        <v>35</v>
      </c>
      <c r="F534" s="13">
        <f t="shared" si="434"/>
        <v>0</v>
      </c>
      <c r="G534" s="85"/>
      <c r="H534" s="84" t="str">
        <f t="shared" si="435"/>
        <v/>
      </c>
      <c r="I534" s="15" t="str">
        <f t="shared" si="436"/>
        <v/>
      </c>
      <c r="J534" s="26"/>
      <c r="K534" s="26"/>
      <c r="L534" s="7">
        <f t="shared" si="437"/>
        <v>0</v>
      </c>
      <c r="M534" s="24">
        <f t="shared" si="438"/>
        <v>0</v>
      </c>
      <c r="N534" s="12">
        <v>0</v>
      </c>
      <c r="O534" s="12">
        <v>0</v>
      </c>
      <c r="P534" s="12">
        <v>0</v>
      </c>
      <c r="Q534" s="16"/>
      <c r="R534" s="16"/>
    </row>
    <row r="535" spans="2:18" ht="40.200000000000003" customHeight="1" x14ac:dyDescent="0.4">
      <c r="B535" s="131"/>
      <c r="C535" s="3"/>
      <c r="D535" s="11"/>
      <c r="E535" s="130" t="s">
        <v>35</v>
      </c>
      <c r="F535" s="13">
        <f t="shared" si="434"/>
        <v>0</v>
      </c>
      <c r="G535" s="85"/>
      <c r="H535" s="84" t="str">
        <f t="shared" si="435"/>
        <v/>
      </c>
      <c r="I535" s="15" t="str">
        <f t="shared" si="436"/>
        <v/>
      </c>
      <c r="J535" s="26"/>
      <c r="K535" s="26"/>
      <c r="L535" s="7">
        <f t="shared" si="437"/>
        <v>0</v>
      </c>
      <c r="M535" s="24">
        <f t="shared" si="438"/>
        <v>0</v>
      </c>
      <c r="N535" s="12">
        <v>0</v>
      </c>
      <c r="O535" s="12">
        <v>0</v>
      </c>
      <c r="P535" s="12">
        <v>0</v>
      </c>
      <c r="Q535" s="16"/>
      <c r="R535" s="16"/>
    </row>
    <row r="536" spans="2:18" ht="40.200000000000003" customHeight="1" x14ac:dyDescent="0.4">
      <c r="B536" s="131"/>
      <c r="C536" s="3"/>
      <c r="D536" s="11"/>
      <c r="E536" s="130" t="s">
        <v>35</v>
      </c>
      <c r="F536" s="13">
        <f t="shared" si="434"/>
        <v>0</v>
      </c>
      <c r="G536" s="85"/>
      <c r="H536" s="84" t="str">
        <f t="shared" si="435"/>
        <v/>
      </c>
      <c r="I536" s="15" t="str">
        <f t="shared" si="436"/>
        <v/>
      </c>
      <c r="J536" s="26"/>
      <c r="K536" s="26"/>
      <c r="L536" s="7">
        <f t="shared" si="437"/>
        <v>0</v>
      </c>
      <c r="M536" s="24">
        <f t="shared" si="438"/>
        <v>0</v>
      </c>
      <c r="N536" s="12">
        <v>0</v>
      </c>
      <c r="O536" s="12">
        <v>0</v>
      </c>
      <c r="P536" s="12">
        <v>0</v>
      </c>
      <c r="Q536" s="16"/>
      <c r="R536" s="16"/>
    </row>
    <row r="537" spans="2:18" ht="40.200000000000003" customHeight="1" x14ac:dyDescent="0.4">
      <c r="B537" s="131"/>
      <c r="C537" s="3"/>
      <c r="D537" s="11"/>
      <c r="E537" s="130" t="s">
        <v>35</v>
      </c>
      <c r="F537" s="13">
        <f t="shared" si="434"/>
        <v>0</v>
      </c>
      <c r="G537" s="85"/>
      <c r="H537" s="84" t="str">
        <f t="shared" si="435"/>
        <v/>
      </c>
      <c r="I537" s="15" t="str">
        <f t="shared" si="436"/>
        <v/>
      </c>
      <c r="J537" s="26"/>
      <c r="K537" s="26"/>
      <c r="L537" s="7">
        <f t="shared" si="437"/>
        <v>0</v>
      </c>
      <c r="M537" s="24">
        <f t="shared" si="438"/>
        <v>0</v>
      </c>
      <c r="N537" s="12">
        <v>0</v>
      </c>
      <c r="O537" s="12">
        <v>0</v>
      </c>
      <c r="P537" s="12">
        <v>0</v>
      </c>
      <c r="Q537" s="16"/>
      <c r="R537" s="16"/>
    </row>
    <row r="538" spans="2:18" ht="40.200000000000003" customHeight="1" x14ac:dyDescent="0.4">
      <c r="B538" s="131"/>
      <c r="C538" s="3"/>
      <c r="D538" s="11"/>
      <c r="E538" s="130" t="s">
        <v>35</v>
      </c>
      <c r="F538" s="13">
        <f t="shared" ref="F538:F544" si="439">G538</f>
        <v>0</v>
      </c>
      <c r="G538" s="85"/>
      <c r="H538" s="84" t="str">
        <f t="shared" ref="H538:H544" si="440">IF(G538="","",(G538))</f>
        <v/>
      </c>
      <c r="I538" s="15" t="str">
        <f t="shared" si="436"/>
        <v/>
      </c>
      <c r="J538" s="26"/>
      <c r="K538" s="26"/>
      <c r="L538" s="7">
        <f t="shared" ref="L538:L544" si="441">C538</f>
        <v>0</v>
      </c>
      <c r="M538" s="24">
        <f t="shared" ref="M538:M544" si="442">G538</f>
        <v>0</v>
      </c>
      <c r="N538" s="12">
        <v>0</v>
      </c>
      <c r="O538" s="12">
        <v>0</v>
      </c>
      <c r="P538" s="12">
        <v>0</v>
      </c>
      <c r="Q538" s="16"/>
      <c r="R538" s="16"/>
    </row>
    <row r="539" spans="2:18" ht="40.200000000000003" customHeight="1" x14ac:dyDescent="0.4">
      <c r="B539" s="131"/>
      <c r="C539" s="3"/>
      <c r="D539" s="11"/>
      <c r="E539" s="130" t="s">
        <v>35</v>
      </c>
      <c r="F539" s="13">
        <f t="shared" si="439"/>
        <v>0</v>
      </c>
      <c r="G539" s="85"/>
      <c r="H539" s="84" t="str">
        <f t="shared" si="440"/>
        <v/>
      </c>
      <c r="I539" s="15" t="str">
        <f t="shared" si="436"/>
        <v/>
      </c>
      <c r="J539" s="26"/>
      <c r="K539" s="26"/>
      <c r="L539" s="7">
        <f t="shared" si="441"/>
        <v>0</v>
      </c>
      <c r="M539" s="24">
        <f t="shared" si="442"/>
        <v>0</v>
      </c>
      <c r="N539" s="12">
        <v>0</v>
      </c>
      <c r="O539" s="12">
        <v>0</v>
      </c>
      <c r="P539" s="12">
        <v>0</v>
      </c>
      <c r="Q539" s="16"/>
      <c r="R539" s="16"/>
    </row>
    <row r="540" spans="2:18" ht="40.200000000000003" customHeight="1" x14ac:dyDescent="0.4">
      <c r="B540" s="131"/>
      <c r="C540" s="3"/>
      <c r="D540" s="11"/>
      <c r="E540" s="130" t="s">
        <v>35</v>
      </c>
      <c r="F540" s="13">
        <f t="shared" si="439"/>
        <v>0</v>
      </c>
      <c r="G540" s="85"/>
      <c r="H540" s="84" t="str">
        <f t="shared" si="440"/>
        <v/>
      </c>
      <c r="I540" s="15" t="str">
        <f t="shared" si="436"/>
        <v/>
      </c>
      <c r="J540" s="26"/>
      <c r="K540" s="26"/>
      <c r="L540" s="7">
        <f t="shared" si="441"/>
        <v>0</v>
      </c>
      <c r="M540" s="24">
        <f t="shared" si="442"/>
        <v>0</v>
      </c>
      <c r="N540" s="12">
        <v>0</v>
      </c>
      <c r="O540" s="12">
        <v>0</v>
      </c>
      <c r="P540" s="12">
        <v>0</v>
      </c>
      <c r="Q540" s="16"/>
      <c r="R540" s="16"/>
    </row>
    <row r="541" spans="2:18" ht="40.200000000000003" customHeight="1" x14ac:dyDescent="0.4">
      <c r="B541" s="131"/>
      <c r="C541" s="3"/>
      <c r="D541" s="11"/>
      <c r="E541" s="130" t="s">
        <v>35</v>
      </c>
      <c r="F541" s="13">
        <f t="shared" si="439"/>
        <v>0</v>
      </c>
      <c r="G541" s="85"/>
      <c r="H541" s="84" t="str">
        <f t="shared" si="440"/>
        <v/>
      </c>
      <c r="I541" s="15" t="str">
        <f>IF(H541="","",(H541+I540-J541))</f>
        <v/>
      </c>
      <c r="J541" s="26"/>
      <c r="K541" s="26"/>
      <c r="L541" s="7">
        <f t="shared" si="441"/>
        <v>0</v>
      </c>
      <c r="M541" s="24">
        <f t="shared" si="442"/>
        <v>0</v>
      </c>
      <c r="N541" s="12">
        <v>0</v>
      </c>
      <c r="O541" s="12">
        <v>0</v>
      </c>
      <c r="P541" s="12">
        <v>0</v>
      </c>
      <c r="Q541" s="16"/>
      <c r="R541" s="16"/>
    </row>
    <row r="542" spans="2:18" ht="40.200000000000003" customHeight="1" x14ac:dyDescent="0.4">
      <c r="B542" s="131"/>
      <c r="C542" s="3"/>
      <c r="D542" s="11"/>
      <c r="E542" s="132" t="s">
        <v>35</v>
      </c>
      <c r="F542" s="13">
        <f t="shared" si="439"/>
        <v>0</v>
      </c>
      <c r="G542" s="85"/>
      <c r="H542" s="84" t="str">
        <f t="shared" si="440"/>
        <v/>
      </c>
      <c r="I542" s="15" t="str">
        <f t="shared" ref="I542:I547" si="443">IF(H542="","",(H542+I541-J542))</f>
        <v/>
      </c>
      <c r="J542" s="26"/>
      <c r="K542" s="26"/>
      <c r="L542" s="7">
        <f t="shared" si="441"/>
        <v>0</v>
      </c>
      <c r="M542" s="24">
        <f t="shared" si="442"/>
        <v>0</v>
      </c>
      <c r="N542" s="12">
        <v>0</v>
      </c>
      <c r="O542" s="12">
        <v>0</v>
      </c>
      <c r="P542" s="12">
        <v>0</v>
      </c>
      <c r="Q542" s="16"/>
      <c r="R542" s="16"/>
    </row>
    <row r="543" spans="2:18" ht="40.200000000000003" customHeight="1" x14ac:dyDescent="0.4">
      <c r="B543" s="131"/>
      <c r="C543" s="3"/>
      <c r="D543" s="11"/>
      <c r="E543" s="132" t="s">
        <v>35</v>
      </c>
      <c r="F543" s="13">
        <f t="shared" si="439"/>
        <v>0</v>
      </c>
      <c r="G543" s="85"/>
      <c r="H543" s="84" t="str">
        <f t="shared" si="440"/>
        <v/>
      </c>
      <c r="I543" s="15" t="str">
        <f t="shared" si="443"/>
        <v/>
      </c>
      <c r="J543" s="26"/>
      <c r="K543" s="26"/>
      <c r="L543" s="7">
        <f t="shared" si="441"/>
        <v>0</v>
      </c>
      <c r="M543" s="24">
        <f t="shared" si="442"/>
        <v>0</v>
      </c>
      <c r="N543" s="12">
        <v>0</v>
      </c>
      <c r="O543" s="12">
        <v>0</v>
      </c>
      <c r="P543" s="12">
        <v>0</v>
      </c>
      <c r="Q543" s="16"/>
      <c r="R543" s="16"/>
    </row>
    <row r="544" spans="2:18" ht="40.200000000000003" customHeight="1" x14ac:dyDescent="0.4">
      <c r="B544" s="131"/>
      <c r="C544" s="3"/>
      <c r="D544" s="11"/>
      <c r="E544" s="132" t="s">
        <v>35</v>
      </c>
      <c r="F544" s="13">
        <f t="shared" si="439"/>
        <v>0</v>
      </c>
      <c r="G544" s="85"/>
      <c r="H544" s="84" t="str">
        <f t="shared" si="440"/>
        <v/>
      </c>
      <c r="I544" s="15" t="str">
        <f t="shared" si="443"/>
        <v/>
      </c>
      <c r="J544" s="26"/>
      <c r="K544" s="26"/>
      <c r="L544" s="7">
        <f t="shared" si="441"/>
        <v>0</v>
      </c>
      <c r="M544" s="24">
        <f t="shared" si="442"/>
        <v>0</v>
      </c>
      <c r="N544" s="12">
        <v>0</v>
      </c>
      <c r="O544" s="12">
        <v>0</v>
      </c>
      <c r="P544" s="12">
        <v>0</v>
      </c>
      <c r="Q544" s="16"/>
      <c r="R544" s="16"/>
    </row>
    <row r="545" spans="2:18" ht="40.200000000000003" customHeight="1" x14ac:dyDescent="0.4">
      <c r="B545" s="131"/>
      <c r="C545" s="3"/>
      <c r="D545" s="11"/>
      <c r="E545" s="132" t="s">
        <v>35</v>
      </c>
      <c r="F545" s="13">
        <f t="shared" ref="F545:F551" si="444">G545</f>
        <v>0</v>
      </c>
      <c r="G545" s="85"/>
      <c r="H545" s="84" t="str">
        <f t="shared" ref="H545:H551" si="445">IF(G545="","",(G545))</f>
        <v/>
      </c>
      <c r="I545" s="15" t="str">
        <f t="shared" si="443"/>
        <v/>
      </c>
      <c r="J545" s="26"/>
      <c r="K545" s="26"/>
      <c r="L545" s="7">
        <f t="shared" ref="L545:L551" si="446">C545</f>
        <v>0</v>
      </c>
      <c r="M545" s="24">
        <f t="shared" ref="M545:M551" si="447">G545</f>
        <v>0</v>
      </c>
      <c r="N545" s="12">
        <v>0</v>
      </c>
      <c r="O545" s="12">
        <v>0</v>
      </c>
      <c r="P545" s="12">
        <v>0</v>
      </c>
      <c r="Q545" s="16"/>
      <c r="R545" s="16"/>
    </row>
    <row r="546" spans="2:18" ht="40.200000000000003" customHeight="1" x14ac:dyDescent="0.4">
      <c r="B546" s="131"/>
      <c r="C546" s="3"/>
      <c r="D546" s="11"/>
      <c r="E546" s="132" t="s">
        <v>35</v>
      </c>
      <c r="F546" s="13">
        <f t="shared" si="444"/>
        <v>0</v>
      </c>
      <c r="G546" s="85"/>
      <c r="H546" s="84" t="str">
        <f t="shared" si="445"/>
        <v/>
      </c>
      <c r="I546" s="15" t="str">
        <f t="shared" si="443"/>
        <v/>
      </c>
      <c r="J546" s="26"/>
      <c r="K546" s="26"/>
      <c r="L546" s="7">
        <f t="shared" si="446"/>
        <v>0</v>
      </c>
      <c r="M546" s="24">
        <f t="shared" si="447"/>
        <v>0</v>
      </c>
      <c r="N546" s="12">
        <v>0</v>
      </c>
      <c r="O546" s="12">
        <v>0</v>
      </c>
      <c r="P546" s="12">
        <v>0</v>
      </c>
      <c r="Q546" s="16"/>
      <c r="R546" s="16"/>
    </row>
    <row r="547" spans="2:18" ht="40.200000000000003" customHeight="1" x14ac:dyDescent="0.4">
      <c r="B547" s="131"/>
      <c r="C547" s="3"/>
      <c r="D547" s="11"/>
      <c r="E547" s="132" t="s">
        <v>35</v>
      </c>
      <c r="F547" s="13">
        <f t="shared" si="444"/>
        <v>0</v>
      </c>
      <c r="G547" s="85"/>
      <c r="H547" s="84" t="str">
        <f t="shared" si="445"/>
        <v/>
      </c>
      <c r="I547" s="15" t="str">
        <f t="shared" si="443"/>
        <v/>
      </c>
      <c r="J547" s="26"/>
      <c r="K547" s="26"/>
      <c r="L547" s="7">
        <f t="shared" si="446"/>
        <v>0</v>
      </c>
      <c r="M547" s="24">
        <f t="shared" si="447"/>
        <v>0</v>
      </c>
      <c r="N547" s="12">
        <v>0</v>
      </c>
      <c r="O547" s="12">
        <v>0</v>
      </c>
      <c r="P547" s="12">
        <v>0</v>
      </c>
      <c r="Q547" s="16"/>
      <c r="R547" s="16"/>
    </row>
    <row r="548" spans="2:18" ht="40.200000000000003" customHeight="1" x14ac:dyDescent="0.4">
      <c r="B548" s="131"/>
      <c r="C548" s="3"/>
      <c r="D548" s="11"/>
      <c r="E548" s="132" t="s">
        <v>35</v>
      </c>
      <c r="F548" s="13">
        <f t="shared" si="444"/>
        <v>0</v>
      </c>
      <c r="G548" s="85"/>
      <c r="H548" s="84" t="str">
        <f t="shared" si="445"/>
        <v/>
      </c>
      <c r="I548" s="15" t="str">
        <f>IF(H548="","",(H548+I547-J548))</f>
        <v/>
      </c>
      <c r="J548" s="26"/>
      <c r="K548" s="26"/>
      <c r="L548" s="7">
        <f t="shared" si="446"/>
        <v>0</v>
      </c>
      <c r="M548" s="24">
        <f t="shared" si="447"/>
        <v>0</v>
      </c>
      <c r="N548" s="12">
        <v>0</v>
      </c>
      <c r="O548" s="12">
        <v>0</v>
      </c>
      <c r="P548" s="12">
        <v>0</v>
      </c>
      <c r="Q548" s="16"/>
      <c r="R548" s="16"/>
    </row>
    <row r="549" spans="2:18" ht="40.200000000000003" customHeight="1" x14ac:dyDescent="0.4">
      <c r="B549" s="139"/>
      <c r="C549" s="3"/>
      <c r="D549" s="11"/>
      <c r="E549" s="133" t="s">
        <v>35</v>
      </c>
      <c r="F549" s="13">
        <f t="shared" si="444"/>
        <v>0</v>
      </c>
      <c r="G549" s="85"/>
      <c r="H549" s="84" t="str">
        <f t="shared" si="445"/>
        <v/>
      </c>
      <c r="I549" s="15" t="str">
        <f t="shared" ref="I549:I551" si="448">IF(H549="","",(H549+I548-J549))</f>
        <v/>
      </c>
      <c r="J549" s="26"/>
      <c r="K549" s="26"/>
      <c r="L549" s="7">
        <f t="shared" si="446"/>
        <v>0</v>
      </c>
      <c r="M549" s="24">
        <f t="shared" si="447"/>
        <v>0</v>
      </c>
      <c r="N549" s="12">
        <v>0</v>
      </c>
      <c r="O549" s="12">
        <v>0</v>
      </c>
      <c r="P549" s="12">
        <v>0</v>
      </c>
      <c r="Q549" s="16"/>
      <c r="R549" s="16"/>
    </row>
    <row r="550" spans="2:18" ht="40.200000000000003" customHeight="1" x14ac:dyDescent="0.4">
      <c r="B550" s="139"/>
      <c r="C550" s="3"/>
      <c r="D550" s="11"/>
      <c r="E550" s="133" t="s">
        <v>35</v>
      </c>
      <c r="F550" s="13">
        <f t="shared" si="444"/>
        <v>0</v>
      </c>
      <c r="G550" s="85"/>
      <c r="H550" s="84" t="str">
        <f t="shared" si="445"/>
        <v/>
      </c>
      <c r="I550" s="15" t="str">
        <f t="shared" si="448"/>
        <v/>
      </c>
      <c r="J550" s="26"/>
      <c r="K550" s="26"/>
      <c r="L550" s="7">
        <f t="shared" si="446"/>
        <v>0</v>
      </c>
      <c r="M550" s="24">
        <f t="shared" si="447"/>
        <v>0</v>
      </c>
      <c r="N550" s="12">
        <v>0</v>
      </c>
      <c r="O550" s="12">
        <v>0</v>
      </c>
      <c r="P550" s="12">
        <v>0</v>
      </c>
      <c r="Q550" s="16"/>
      <c r="R550" s="16"/>
    </row>
    <row r="551" spans="2:18" ht="40.200000000000003" customHeight="1" x14ac:dyDescent="0.4">
      <c r="B551" s="139"/>
      <c r="C551" s="3"/>
      <c r="D551" s="11"/>
      <c r="E551" s="133" t="s">
        <v>35</v>
      </c>
      <c r="F551" s="13">
        <f t="shared" si="444"/>
        <v>0</v>
      </c>
      <c r="G551" s="85"/>
      <c r="H551" s="84" t="str">
        <f t="shared" si="445"/>
        <v/>
      </c>
      <c r="I551" s="15" t="str">
        <f t="shared" si="448"/>
        <v/>
      </c>
      <c r="J551" s="26"/>
      <c r="K551" s="26"/>
      <c r="L551" s="7">
        <f t="shared" si="446"/>
        <v>0</v>
      </c>
      <c r="M551" s="24">
        <f t="shared" si="447"/>
        <v>0</v>
      </c>
      <c r="N551" s="12">
        <v>0</v>
      </c>
      <c r="O551" s="12">
        <v>0</v>
      </c>
      <c r="P551" s="12">
        <v>0</v>
      </c>
      <c r="Q551" s="16"/>
      <c r="R551" s="16"/>
    </row>
    <row r="552" spans="2:18" ht="40.200000000000003" customHeight="1" x14ac:dyDescent="0.4">
      <c r="B552" s="139"/>
      <c r="C552" s="3"/>
      <c r="D552" s="11"/>
      <c r="E552" s="135" t="s">
        <v>35</v>
      </c>
      <c r="F552" s="13">
        <f t="shared" ref="F552:F555" si="449">G552</f>
        <v>0</v>
      </c>
      <c r="G552" s="85"/>
      <c r="H552" s="84" t="str">
        <f t="shared" ref="H552:H555" si="450">IF(G552="","",(G552))</f>
        <v/>
      </c>
      <c r="I552" s="15" t="str">
        <f t="shared" ref="I552:I555" si="451">IF(H552="","",(H552+I551-J552))</f>
        <v/>
      </c>
      <c r="J552" s="26"/>
      <c r="K552" s="26"/>
      <c r="L552" s="7">
        <f t="shared" ref="L552:L555" si="452">C552</f>
        <v>0</v>
      </c>
      <c r="M552" s="24">
        <f t="shared" ref="M552:M555" si="453">G552</f>
        <v>0</v>
      </c>
      <c r="N552" s="12">
        <v>0</v>
      </c>
      <c r="O552" s="12">
        <v>0</v>
      </c>
      <c r="P552" s="12">
        <v>0</v>
      </c>
      <c r="Q552" s="16"/>
      <c r="R552" s="16"/>
    </row>
    <row r="553" spans="2:18" ht="40.200000000000003" customHeight="1" x14ac:dyDescent="0.4">
      <c r="B553" s="139"/>
      <c r="C553" s="3"/>
      <c r="D553" s="11"/>
      <c r="E553" s="135" t="s">
        <v>35</v>
      </c>
      <c r="F553" s="13">
        <f t="shared" si="449"/>
        <v>0</v>
      </c>
      <c r="G553" s="85"/>
      <c r="H553" s="84" t="str">
        <f t="shared" si="450"/>
        <v/>
      </c>
      <c r="I553" s="15" t="str">
        <f t="shared" si="451"/>
        <v/>
      </c>
      <c r="J553" s="26"/>
      <c r="K553" s="26"/>
      <c r="L553" s="7">
        <f t="shared" si="452"/>
        <v>0</v>
      </c>
      <c r="M553" s="24">
        <f t="shared" si="453"/>
        <v>0</v>
      </c>
      <c r="N553" s="12">
        <v>0</v>
      </c>
      <c r="O553" s="12">
        <v>0</v>
      </c>
      <c r="P553" s="12">
        <v>0</v>
      </c>
      <c r="Q553" s="16"/>
      <c r="R553" s="16"/>
    </row>
    <row r="554" spans="2:18" ht="40.200000000000003" customHeight="1" x14ac:dyDescent="0.4">
      <c r="B554" s="139"/>
      <c r="C554" s="3"/>
      <c r="D554" s="11"/>
      <c r="E554" s="135" t="s">
        <v>35</v>
      </c>
      <c r="F554" s="13">
        <f t="shared" si="449"/>
        <v>0</v>
      </c>
      <c r="G554" s="85"/>
      <c r="H554" s="84" t="str">
        <f t="shared" si="450"/>
        <v/>
      </c>
      <c r="I554" s="15" t="str">
        <f t="shared" si="451"/>
        <v/>
      </c>
      <c r="J554" s="26"/>
      <c r="K554" s="26"/>
      <c r="L554" s="7">
        <f t="shared" si="452"/>
        <v>0</v>
      </c>
      <c r="M554" s="24">
        <f t="shared" si="453"/>
        <v>0</v>
      </c>
      <c r="N554" s="12">
        <v>0</v>
      </c>
      <c r="O554" s="12">
        <v>0</v>
      </c>
      <c r="P554" s="12">
        <v>0</v>
      </c>
      <c r="Q554" s="16"/>
      <c r="R554" s="16"/>
    </row>
    <row r="555" spans="2:18" ht="40.200000000000003" customHeight="1" x14ac:dyDescent="0.4">
      <c r="B555" s="139"/>
      <c r="C555" s="3"/>
      <c r="D555" s="11"/>
      <c r="E555" s="135" t="s">
        <v>35</v>
      </c>
      <c r="F555" s="13">
        <f t="shared" si="449"/>
        <v>0</v>
      </c>
      <c r="G555" s="85"/>
      <c r="H555" s="84" t="str">
        <f t="shared" si="450"/>
        <v/>
      </c>
      <c r="I555" s="15" t="str">
        <f t="shared" si="451"/>
        <v/>
      </c>
      <c r="J555" s="26"/>
      <c r="K555" s="26"/>
      <c r="L555" s="7">
        <f t="shared" si="452"/>
        <v>0</v>
      </c>
      <c r="M555" s="24">
        <f t="shared" si="453"/>
        <v>0</v>
      </c>
      <c r="N555" s="12">
        <v>0</v>
      </c>
      <c r="O555" s="12">
        <v>0</v>
      </c>
      <c r="P555" s="12">
        <v>0</v>
      </c>
      <c r="Q555" s="16"/>
      <c r="R555" s="16"/>
    </row>
    <row r="556" spans="2:18" ht="40.200000000000003" customHeight="1" x14ac:dyDescent="0.4">
      <c r="B556" s="139"/>
      <c r="C556" s="3"/>
      <c r="D556" s="11"/>
      <c r="E556" s="137" t="s">
        <v>35</v>
      </c>
      <c r="F556" s="13">
        <f t="shared" ref="F556:F567" si="454">G556</f>
        <v>0</v>
      </c>
      <c r="G556" s="85"/>
      <c r="H556" s="84" t="str">
        <f t="shared" ref="H556:H567" si="455">IF(G556="","",(G556))</f>
        <v/>
      </c>
      <c r="I556" s="15" t="str">
        <f t="shared" ref="I556:I559" si="456">IF(H556="","",(H556+I555-J556))</f>
        <v/>
      </c>
      <c r="J556" s="26"/>
      <c r="K556" s="26"/>
      <c r="L556" s="7">
        <f t="shared" ref="L556:L567" si="457">C556</f>
        <v>0</v>
      </c>
      <c r="M556" s="24">
        <f t="shared" ref="M556:M567" si="458">G556</f>
        <v>0</v>
      </c>
      <c r="N556" s="12">
        <v>0</v>
      </c>
      <c r="O556" s="12">
        <v>0</v>
      </c>
      <c r="P556" s="12">
        <v>0</v>
      </c>
      <c r="Q556" s="16"/>
      <c r="R556" s="16"/>
    </row>
    <row r="557" spans="2:18" ht="40.200000000000003" customHeight="1" x14ac:dyDescent="0.4">
      <c r="B557" s="139"/>
      <c r="C557" s="3"/>
      <c r="D557" s="11"/>
      <c r="E557" s="137" t="s">
        <v>35</v>
      </c>
      <c r="F557" s="13">
        <f t="shared" si="454"/>
        <v>0</v>
      </c>
      <c r="G557" s="85"/>
      <c r="H557" s="84" t="str">
        <f t="shared" si="455"/>
        <v/>
      </c>
      <c r="I557" s="15" t="str">
        <f t="shared" si="456"/>
        <v/>
      </c>
      <c r="J557" s="26"/>
      <c r="K557" s="26"/>
      <c r="L557" s="7">
        <f t="shared" si="457"/>
        <v>0</v>
      </c>
      <c r="M557" s="24">
        <f t="shared" si="458"/>
        <v>0</v>
      </c>
      <c r="N557" s="12">
        <v>0</v>
      </c>
      <c r="O557" s="12">
        <v>0</v>
      </c>
      <c r="P557" s="12">
        <v>0</v>
      </c>
      <c r="Q557" s="16"/>
      <c r="R557" s="16"/>
    </row>
    <row r="558" spans="2:18" ht="40.200000000000003" customHeight="1" x14ac:dyDescent="0.4">
      <c r="B558" s="139"/>
      <c r="C558" s="3"/>
      <c r="D558" s="11"/>
      <c r="E558" s="137" t="s">
        <v>35</v>
      </c>
      <c r="F558" s="13">
        <f t="shared" si="454"/>
        <v>0</v>
      </c>
      <c r="G558" s="85"/>
      <c r="H558" s="84" t="str">
        <f t="shared" si="455"/>
        <v/>
      </c>
      <c r="I558" s="15" t="str">
        <f t="shared" si="456"/>
        <v/>
      </c>
      <c r="J558" s="26"/>
      <c r="K558" s="26"/>
      <c r="L558" s="7">
        <f t="shared" si="457"/>
        <v>0</v>
      </c>
      <c r="M558" s="24">
        <f t="shared" si="458"/>
        <v>0</v>
      </c>
      <c r="N558" s="12">
        <v>0</v>
      </c>
      <c r="O558" s="12">
        <v>0</v>
      </c>
      <c r="P558" s="12">
        <v>0</v>
      </c>
      <c r="Q558" s="16"/>
      <c r="R558" s="16"/>
    </row>
    <row r="559" spans="2:18" ht="40.200000000000003" customHeight="1" x14ac:dyDescent="0.4">
      <c r="B559" s="139"/>
      <c r="C559" s="3"/>
      <c r="D559" s="11"/>
      <c r="E559" s="137" t="s">
        <v>35</v>
      </c>
      <c r="F559" s="13">
        <f t="shared" si="454"/>
        <v>0</v>
      </c>
      <c r="G559" s="85"/>
      <c r="H559" s="84" t="str">
        <f t="shared" si="455"/>
        <v/>
      </c>
      <c r="I559" s="15" t="str">
        <f t="shared" si="456"/>
        <v/>
      </c>
      <c r="J559" s="26"/>
      <c r="K559" s="26"/>
      <c r="L559" s="7">
        <f t="shared" si="457"/>
        <v>0</v>
      </c>
      <c r="M559" s="24">
        <f t="shared" si="458"/>
        <v>0</v>
      </c>
      <c r="N559" s="12">
        <v>0</v>
      </c>
      <c r="O559" s="12">
        <v>0</v>
      </c>
      <c r="P559" s="12">
        <v>0</v>
      </c>
      <c r="Q559" s="16"/>
      <c r="R559" s="16"/>
    </row>
    <row r="560" spans="2:18" ht="40.200000000000003" customHeight="1" x14ac:dyDescent="0.4">
      <c r="B560" s="139"/>
      <c r="C560" s="3"/>
      <c r="D560" s="11"/>
      <c r="E560" s="138" t="s">
        <v>35</v>
      </c>
      <c r="F560" s="13">
        <f t="shared" si="454"/>
        <v>0</v>
      </c>
      <c r="G560" s="85"/>
      <c r="H560" s="84" t="str">
        <f t="shared" si="455"/>
        <v/>
      </c>
      <c r="I560" s="15" t="str">
        <f t="shared" ref="I560:I567" si="459">IF(H560="","",(H560+I559-J560))</f>
        <v/>
      </c>
      <c r="J560" s="26"/>
      <c r="K560" s="26"/>
      <c r="L560" s="7">
        <f t="shared" si="457"/>
        <v>0</v>
      </c>
      <c r="M560" s="24">
        <f t="shared" si="458"/>
        <v>0</v>
      </c>
      <c r="N560" s="12">
        <v>0</v>
      </c>
      <c r="O560" s="12">
        <v>0</v>
      </c>
      <c r="P560" s="12">
        <v>0</v>
      </c>
      <c r="Q560" s="16"/>
      <c r="R560" s="16"/>
    </row>
    <row r="561" spans="2:18" ht="40.200000000000003" customHeight="1" x14ac:dyDescent="0.4">
      <c r="B561" s="139"/>
      <c r="C561" s="3"/>
      <c r="D561" s="11"/>
      <c r="E561" s="138" t="s">
        <v>35</v>
      </c>
      <c r="F561" s="13">
        <f t="shared" si="454"/>
        <v>0</v>
      </c>
      <c r="G561" s="85"/>
      <c r="H561" s="84" t="str">
        <f t="shared" si="455"/>
        <v/>
      </c>
      <c r="I561" s="15" t="str">
        <f t="shared" si="459"/>
        <v/>
      </c>
      <c r="J561" s="26"/>
      <c r="K561" s="26"/>
      <c r="L561" s="7">
        <f t="shared" si="457"/>
        <v>0</v>
      </c>
      <c r="M561" s="24">
        <f t="shared" si="458"/>
        <v>0</v>
      </c>
      <c r="N561" s="12">
        <v>0</v>
      </c>
      <c r="O561" s="12">
        <v>0</v>
      </c>
      <c r="P561" s="12">
        <v>0</v>
      </c>
      <c r="Q561" s="16"/>
      <c r="R561" s="16"/>
    </row>
    <row r="562" spans="2:18" ht="40.200000000000003" customHeight="1" x14ac:dyDescent="0.4">
      <c r="B562" s="139"/>
      <c r="C562" s="3"/>
      <c r="D562" s="11"/>
      <c r="E562" s="138" t="s">
        <v>35</v>
      </c>
      <c r="F562" s="13">
        <f t="shared" si="454"/>
        <v>0</v>
      </c>
      <c r="G562" s="85"/>
      <c r="H562" s="84" t="str">
        <f t="shared" si="455"/>
        <v/>
      </c>
      <c r="I562" s="15" t="str">
        <f t="shared" si="459"/>
        <v/>
      </c>
      <c r="J562" s="26"/>
      <c r="K562" s="26"/>
      <c r="L562" s="7">
        <f t="shared" si="457"/>
        <v>0</v>
      </c>
      <c r="M562" s="24">
        <f t="shared" si="458"/>
        <v>0</v>
      </c>
      <c r="N562" s="12">
        <v>0</v>
      </c>
      <c r="O562" s="12">
        <v>0</v>
      </c>
      <c r="P562" s="12">
        <v>0</v>
      </c>
      <c r="Q562" s="16"/>
      <c r="R562" s="16"/>
    </row>
    <row r="563" spans="2:18" ht="40.200000000000003" customHeight="1" x14ac:dyDescent="0.4">
      <c r="B563" s="139"/>
      <c r="C563" s="3"/>
      <c r="D563" s="11"/>
      <c r="E563" s="138" t="s">
        <v>35</v>
      </c>
      <c r="F563" s="13">
        <f t="shared" si="454"/>
        <v>0</v>
      </c>
      <c r="G563" s="85"/>
      <c r="H563" s="84" t="str">
        <f t="shared" si="455"/>
        <v/>
      </c>
      <c r="I563" s="15" t="str">
        <f t="shared" si="459"/>
        <v/>
      </c>
      <c r="J563" s="26"/>
      <c r="K563" s="26"/>
      <c r="L563" s="7">
        <f t="shared" si="457"/>
        <v>0</v>
      </c>
      <c r="M563" s="24">
        <f t="shared" si="458"/>
        <v>0</v>
      </c>
      <c r="N563" s="12">
        <v>0</v>
      </c>
      <c r="O563" s="12">
        <v>0</v>
      </c>
      <c r="P563" s="12">
        <v>0</v>
      </c>
      <c r="Q563" s="16"/>
      <c r="R563" s="16"/>
    </row>
    <row r="564" spans="2:18" ht="40.200000000000003" customHeight="1" x14ac:dyDescent="0.4">
      <c r="B564" s="139"/>
      <c r="C564" s="3"/>
      <c r="D564" s="11"/>
      <c r="E564" s="138" t="s">
        <v>35</v>
      </c>
      <c r="F564" s="13">
        <f t="shared" si="454"/>
        <v>0</v>
      </c>
      <c r="G564" s="85"/>
      <c r="H564" s="84" t="str">
        <f t="shared" si="455"/>
        <v/>
      </c>
      <c r="I564" s="15" t="str">
        <f t="shared" si="459"/>
        <v/>
      </c>
      <c r="J564" s="26"/>
      <c r="K564" s="26"/>
      <c r="L564" s="7">
        <f t="shared" si="457"/>
        <v>0</v>
      </c>
      <c r="M564" s="24">
        <f t="shared" si="458"/>
        <v>0</v>
      </c>
      <c r="N564" s="12">
        <v>0</v>
      </c>
      <c r="O564" s="12">
        <v>0</v>
      </c>
      <c r="P564" s="12">
        <v>0</v>
      </c>
      <c r="Q564" s="16"/>
      <c r="R564" s="16"/>
    </row>
    <row r="565" spans="2:18" ht="40.200000000000003" customHeight="1" x14ac:dyDescent="0.4">
      <c r="B565" s="139"/>
      <c r="C565" s="3"/>
      <c r="D565" s="11"/>
      <c r="E565" s="138" t="s">
        <v>35</v>
      </c>
      <c r="F565" s="13">
        <f t="shared" si="454"/>
        <v>0</v>
      </c>
      <c r="G565" s="85"/>
      <c r="H565" s="84" t="str">
        <f t="shared" si="455"/>
        <v/>
      </c>
      <c r="I565" s="15" t="str">
        <f t="shared" si="459"/>
        <v/>
      </c>
      <c r="J565" s="26"/>
      <c r="K565" s="26"/>
      <c r="L565" s="7">
        <f t="shared" si="457"/>
        <v>0</v>
      </c>
      <c r="M565" s="24">
        <f t="shared" si="458"/>
        <v>0</v>
      </c>
      <c r="N565" s="12">
        <v>0</v>
      </c>
      <c r="O565" s="12">
        <v>0</v>
      </c>
      <c r="P565" s="12">
        <v>0</v>
      </c>
      <c r="Q565" s="16"/>
      <c r="R565" s="16"/>
    </row>
    <row r="566" spans="2:18" ht="40.200000000000003" customHeight="1" x14ac:dyDescent="0.4">
      <c r="B566" s="139"/>
      <c r="C566" s="3"/>
      <c r="D566" s="11"/>
      <c r="E566" s="138" t="s">
        <v>35</v>
      </c>
      <c r="F566" s="13">
        <f t="shared" si="454"/>
        <v>0</v>
      </c>
      <c r="G566" s="85"/>
      <c r="H566" s="84" t="str">
        <f t="shared" si="455"/>
        <v/>
      </c>
      <c r="I566" s="15" t="str">
        <f t="shared" si="459"/>
        <v/>
      </c>
      <c r="J566" s="26"/>
      <c r="K566" s="26"/>
      <c r="L566" s="7">
        <f t="shared" si="457"/>
        <v>0</v>
      </c>
      <c r="M566" s="24">
        <f t="shared" si="458"/>
        <v>0</v>
      </c>
      <c r="N566" s="12">
        <v>0</v>
      </c>
      <c r="O566" s="12">
        <v>0</v>
      </c>
      <c r="P566" s="12">
        <v>0</v>
      </c>
      <c r="Q566" s="16"/>
      <c r="R566" s="16"/>
    </row>
    <row r="567" spans="2:18" ht="40.200000000000003" customHeight="1" x14ac:dyDescent="0.4">
      <c r="B567" s="139"/>
      <c r="C567" s="3"/>
      <c r="D567" s="11"/>
      <c r="E567" s="138" t="s">
        <v>35</v>
      </c>
      <c r="F567" s="13">
        <f t="shared" si="454"/>
        <v>0</v>
      </c>
      <c r="G567" s="85"/>
      <c r="H567" s="84" t="str">
        <f t="shared" si="455"/>
        <v/>
      </c>
      <c r="I567" s="15" t="str">
        <f t="shared" si="459"/>
        <v/>
      </c>
      <c r="J567" s="26"/>
      <c r="K567" s="26"/>
      <c r="L567" s="7">
        <f t="shared" si="457"/>
        <v>0</v>
      </c>
      <c r="M567" s="24">
        <f t="shared" si="458"/>
        <v>0</v>
      </c>
      <c r="N567" s="12">
        <v>0</v>
      </c>
      <c r="O567" s="12">
        <v>0</v>
      </c>
      <c r="P567" s="12">
        <v>0</v>
      </c>
      <c r="Q567" s="16"/>
      <c r="R567" s="16"/>
    </row>
    <row r="568" spans="2:18" ht="40.200000000000003" customHeight="1" x14ac:dyDescent="0.4">
      <c r="B568" s="139"/>
      <c r="C568" s="3"/>
      <c r="D568" s="11"/>
      <c r="E568" s="140" t="s">
        <v>35</v>
      </c>
      <c r="F568" s="13">
        <f t="shared" ref="F568:F571" si="460">G568</f>
        <v>0</v>
      </c>
      <c r="G568" s="85"/>
      <c r="H568" s="84" t="str">
        <f t="shared" ref="H568:H571" si="461">IF(G568="","",(G568))</f>
        <v/>
      </c>
      <c r="I568" s="15" t="str">
        <f t="shared" ref="I568:I571" si="462">IF(H568="","",(H568+I567-J568))</f>
        <v/>
      </c>
      <c r="J568" s="26"/>
      <c r="K568" s="26"/>
      <c r="L568" s="7">
        <f t="shared" ref="L568:L571" si="463">C568</f>
        <v>0</v>
      </c>
      <c r="M568" s="24">
        <f t="shared" ref="M568:M571" si="464">G568</f>
        <v>0</v>
      </c>
      <c r="N568" s="12">
        <v>0</v>
      </c>
      <c r="O568" s="12">
        <v>0</v>
      </c>
      <c r="P568" s="12">
        <v>0</v>
      </c>
      <c r="Q568" s="16"/>
      <c r="R568" s="16"/>
    </row>
    <row r="569" spans="2:18" ht="40.200000000000003" customHeight="1" x14ac:dyDescent="0.4">
      <c r="B569" s="139"/>
      <c r="C569" s="3"/>
      <c r="D569" s="11"/>
      <c r="E569" s="140" t="s">
        <v>35</v>
      </c>
      <c r="F569" s="13">
        <f t="shared" si="460"/>
        <v>0</v>
      </c>
      <c r="G569" s="85"/>
      <c r="H569" s="84" t="str">
        <f t="shared" si="461"/>
        <v/>
      </c>
      <c r="I569" s="15" t="str">
        <f t="shared" si="462"/>
        <v/>
      </c>
      <c r="J569" s="26"/>
      <c r="K569" s="26"/>
      <c r="L569" s="7">
        <f t="shared" si="463"/>
        <v>0</v>
      </c>
      <c r="M569" s="24">
        <f t="shared" si="464"/>
        <v>0</v>
      </c>
      <c r="N569" s="12">
        <v>0</v>
      </c>
      <c r="O569" s="12">
        <v>0</v>
      </c>
      <c r="P569" s="12">
        <v>0</v>
      </c>
      <c r="Q569" s="16"/>
      <c r="R569" s="16"/>
    </row>
    <row r="570" spans="2:18" ht="40.200000000000003" customHeight="1" x14ac:dyDescent="0.4">
      <c r="B570" s="139"/>
      <c r="C570" s="3"/>
      <c r="D570" s="11"/>
      <c r="E570" s="140" t="s">
        <v>35</v>
      </c>
      <c r="F570" s="13">
        <f t="shared" si="460"/>
        <v>0</v>
      </c>
      <c r="G570" s="85"/>
      <c r="H570" s="84" t="str">
        <f t="shared" si="461"/>
        <v/>
      </c>
      <c r="I570" s="15" t="str">
        <f t="shared" si="462"/>
        <v/>
      </c>
      <c r="J570" s="26"/>
      <c r="K570" s="26"/>
      <c r="L570" s="7">
        <f t="shared" si="463"/>
        <v>0</v>
      </c>
      <c r="M570" s="24">
        <f t="shared" si="464"/>
        <v>0</v>
      </c>
      <c r="N570" s="12">
        <v>0</v>
      </c>
      <c r="O570" s="12">
        <v>0</v>
      </c>
      <c r="P570" s="12">
        <v>0</v>
      </c>
      <c r="Q570" s="16"/>
      <c r="R570" s="16"/>
    </row>
    <row r="571" spans="2:18" ht="40.200000000000003" customHeight="1" x14ac:dyDescent="0.4">
      <c r="B571" s="139"/>
      <c r="C571" s="3"/>
      <c r="D571" s="11"/>
      <c r="E571" s="140" t="s">
        <v>35</v>
      </c>
      <c r="F571" s="13">
        <f t="shared" si="460"/>
        <v>0</v>
      </c>
      <c r="G571" s="85"/>
      <c r="H571" s="84" t="str">
        <f t="shared" si="461"/>
        <v/>
      </c>
      <c r="I571" s="15" t="str">
        <f t="shared" si="462"/>
        <v/>
      </c>
      <c r="J571" s="26"/>
      <c r="K571" s="26"/>
      <c r="L571" s="7">
        <f t="shared" si="463"/>
        <v>0</v>
      </c>
      <c r="M571" s="24">
        <f t="shared" si="464"/>
        <v>0</v>
      </c>
      <c r="N571" s="12">
        <v>0</v>
      </c>
      <c r="O571" s="12">
        <v>0</v>
      </c>
      <c r="P571" s="12">
        <v>0</v>
      </c>
      <c r="Q571" s="16"/>
      <c r="R571" s="16"/>
    </row>
    <row r="572" spans="2:18" ht="40.200000000000003" customHeight="1" x14ac:dyDescent="0.4">
      <c r="B572" s="142"/>
      <c r="C572" s="3"/>
      <c r="D572" s="11"/>
      <c r="E572" s="143" t="s">
        <v>35</v>
      </c>
      <c r="F572" s="13">
        <f t="shared" ref="F572:F574" si="465">G572</f>
        <v>0</v>
      </c>
      <c r="G572" s="85"/>
      <c r="H572" s="84" t="str">
        <f t="shared" ref="H572:H574" si="466">IF(G572="","",(G572))</f>
        <v/>
      </c>
      <c r="I572" s="15" t="str">
        <f t="shared" ref="I572:I574" si="467">IF(H572="","",(H572+I571-J572))</f>
        <v/>
      </c>
      <c r="J572" s="26"/>
      <c r="K572" s="26"/>
      <c r="L572" s="7">
        <f t="shared" ref="L572:L574" si="468">C572</f>
        <v>0</v>
      </c>
      <c r="M572" s="24">
        <f t="shared" ref="M572:M574" si="469">G572</f>
        <v>0</v>
      </c>
      <c r="N572" s="12">
        <v>0</v>
      </c>
      <c r="O572" s="12">
        <v>0</v>
      </c>
      <c r="P572" s="12">
        <v>0</v>
      </c>
      <c r="Q572" s="16"/>
      <c r="R572" s="16"/>
    </row>
    <row r="573" spans="2:18" ht="40.200000000000003" customHeight="1" x14ac:dyDescent="0.4">
      <c r="B573" s="142"/>
      <c r="C573" s="3"/>
      <c r="D573" s="11"/>
      <c r="E573" s="143" t="s">
        <v>35</v>
      </c>
      <c r="F573" s="13">
        <f t="shared" si="465"/>
        <v>0</v>
      </c>
      <c r="G573" s="85"/>
      <c r="H573" s="84" t="str">
        <f t="shared" si="466"/>
        <v/>
      </c>
      <c r="I573" s="15" t="str">
        <f t="shared" si="467"/>
        <v/>
      </c>
      <c r="J573" s="26"/>
      <c r="K573" s="26"/>
      <c r="L573" s="7">
        <f t="shared" si="468"/>
        <v>0</v>
      </c>
      <c r="M573" s="24">
        <f t="shared" si="469"/>
        <v>0</v>
      </c>
      <c r="N573" s="12">
        <v>0</v>
      </c>
      <c r="O573" s="12">
        <v>0</v>
      </c>
      <c r="P573" s="12">
        <v>0</v>
      </c>
      <c r="Q573" s="16"/>
      <c r="R573" s="16"/>
    </row>
    <row r="574" spans="2:18" ht="40.200000000000003" customHeight="1" x14ac:dyDescent="0.4">
      <c r="B574" s="142"/>
      <c r="C574" s="3"/>
      <c r="D574" s="11"/>
      <c r="E574" s="143" t="s">
        <v>35</v>
      </c>
      <c r="F574" s="13">
        <f t="shared" si="465"/>
        <v>0</v>
      </c>
      <c r="G574" s="85"/>
      <c r="H574" s="84" t="str">
        <f t="shared" si="466"/>
        <v/>
      </c>
      <c r="I574" s="15" t="str">
        <f t="shared" si="467"/>
        <v/>
      </c>
      <c r="J574" s="26"/>
      <c r="K574" s="26"/>
      <c r="L574" s="7">
        <f t="shared" si="468"/>
        <v>0</v>
      </c>
      <c r="M574" s="24">
        <f t="shared" si="469"/>
        <v>0</v>
      </c>
      <c r="N574" s="12">
        <v>0</v>
      </c>
      <c r="O574" s="12">
        <v>0</v>
      </c>
      <c r="P574" s="12">
        <v>0</v>
      </c>
      <c r="Q574" s="16"/>
      <c r="R574" s="16"/>
    </row>
    <row r="575" spans="2:18" ht="40.200000000000003" customHeight="1" x14ac:dyDescent="0.4"/>
    <row r="576" spans="2:18" ht="40.200000000000003" customHeight="1" x14ac:dyDescent="0.4"/>
    <row r="577" ht="40.200000000000003" customHeight="1" x14ac:dyDescent="0.4"/>
    <row r="578" ht="40.200000000000003" customHeight="1" x14ac:dyDescent="0.4"/>
    <row r="579" ht="40.200000000000003" customHeight="1" x14ac:dyDescent="0.4"/>
    <row r="580" ht="40.200000000000003" customHeight="1" x14ac:dyDescent="0.4"/>
    <row r="581" ht="40.200000000000003" customHeight="1" x14ac:dyDescent="0.4"/>
    <row r="582" ht="40.200000000000003" customHeight="1" x14ac:dyDescent="0.4"/>
    <row r="583" ht="40.200000000000003" customHeight="1" x14ac:dyDescent="0.4"/>
    <row r="584" ht="40.200000000000003" customHeight="1" x14ac:dyDescent="0.4"/>
    <row r="585" ht="40.200000000000003" customHeight="1" x14ac:dyDescent="0.4"/>
    <row r="586" ht="40.200000000000003" customHeight="1" x14ac:dyDescent="0.4"/>
    <row r="587" ht="40.200000000000003" customHeight="1" x14ac:dyDescent="0.4"/>
    <row r="588" ht="40.200000000000003" customHeight="1" x14ac:dyDescent="0.4"/>
    <row r="589" ht="40.200000000000003" customHeight="1" x14ac:dyDescent="0.4"/>
    <row r="590" ht="40.200000000000003" customHeight="1" x14ac:dyDescent="0.4"/>
    <row r="591" ht="40.200000000000003" customHeight="1" x14ac:dyDescent="0.4"/>
    <row r="592" ht="40.200000000000003" customHeight="1" x14ac:dyDescent="0.4"/>
    <row r="593" ht="40.200000000000003" customHeight="1" x14ac:dyDescent="0.4"/>
    <row r="594" ht="40.200000000000003" customHeight="1" x14ac:dyDescent="0.4"/>
    <row r="595" ht="40.200000000000003" customHeight="1" x14ac:dyDescent="0.4"/>
    <row r="596" ht="40.200000000000003" customHeight="1" x14ac:dyDescent="0.4"/>
    <row r="597" ht="40.200000000000003" customHeight="1" x14ac:dyDescent="0.4"/>
    <row r="598" ht="40.200000000000003" customHeight="1" x14ac:dyDescent="0.4"/>
    <row r="599" ht="40.200000000000003" customHeight="1" x14ac:dyDescent="0.4"/>
    <row r="600" ht="40.200000000000003" customHeight="1" x14ac:dyDescent="0.4"/>
    <row r="601" ht="40.200000000000003" customHeight="1" x14ac:dyDescent="0.4"/>
    <row r="602" ht="40.200000000000003" customHeight="1" x14ac:dyDescent="0.4"/>
    <row r="603" ht="40.200000000000003" customHeight="1" x14ac:dyDescent="0.4"/>
    <row r="604" ht="40.200000000000003" customHeight="1" x14ac:dyDescent="0.4"/>
    <row r="605" ht="40.200000000000003" customHeight="1" x14ac:dyDescent="0.4"/>
    <row r="606" ht="40.200000000000003" customHeight="1" x14ac:dyDescent="0.4"/>
    <row r="607" ht="40.200000000000003" customHeight="1" x14ac:dyDescent="0.4"/>
    <row r="608" ht="40.200000000000003" customHeight="1" x14ac:dyDescent="0.4"/>
    <row r="609" ht="40.200000000000003" customHeight="1" x14ac:dyDescent="0.4"/>
    <row r="610" ht="40.200000000000003" customHeight="1" x14ac:dyDescent="0.4"/>
    <row r="611" ht="40.200000000000003" customHeight="1" x14ac:dyDescent="0.4"/>
    <row r="612" ht="40.200000000000003" customHeight="1" x14ac:dyDescent="0.4"/>
    <row r="613" ht="40.200000000000003" customHeight="1" x14ac:dyDescent="0.4"/>
    <row r="614" ht="40.200000000000003" customHeight="1" x14ac:dyDescent="0.4"/>
    <row r="615" ht="40.200000000000003" customHeight="1" x14ac:dyDescent="0.4"/>
    <row r="616" ht="40.200000000000003" customHeight="1" x14ac:dyDescent="0.4"/>
    <row r="617" ht="40.200000000000003" customHeight="1" x14ac:dyDescent="0.4"/>
    <row r="618" ht="40.200000000000003" customHeight="1" x14ac:dyDescent="0.4"/>
    <row r="619" ht="40.200000000000003" customHeight="1" x14ac:dyDescent="0.4"/>
    <row r="620" ht="40.200000000000003" customHeight="1" x14ac:dyDescent="0.4"/>
    <row r="621" ht="40.200000000000003" customHeight="1" x14ac:dyDescent="0.4"/>
    <row r="622" ht="40.200000000000003" customHeight="1" x14ac:dyDescent="0.4"/>
    <row r="623" ht="40.200000000000003" customHeight="1" x14ac:dyDescent="0.4"/>
    <row r="624" ht="40.200000000000003" customHeight="1" x14ac:dyDescent="0.4"/>
    <row r="625" ht="40.200000000000003" customHeight="1" x14ac:dyDescent="0.4"/>
    <row r="626" ht="40.200000000000003" customHeight="1" x14ac:dyDescent="0.4"/>
    <row r="627" ht="40.200000000000003" customHeight="1" x14ac:dyDescent="0.4"/>
    <row r="628" ht="40.200000000000003" customHeight="1" x14ac:dyDescent="0.4"/>
    <row r="629" ht="40.200000000000003" customHeight="1" x14ac:dyDescent="0.4"/>
    <row r="630" ht="40.200000000000003" customHeight="1" x14ac:dyDescent="0.4"/>
    <row r="631" ht="40.200000000000003" customHeight="1" x14ac:dyDescent="0.4"/>
    <row r="632" ht="40.200000000000003" customHeight="1" x14ac:dyDescent="0.4"/>
    <row r="633" ht="40.200000000000003" customHeight="1" x14ac:dyDescent="0.4"/>
    <row r="634" ht="40.200000000000003" customHeight="1" x14ac:dyDescent="0.4"/>
    <row r="635" ht="40.200000000000003" customHeight="1" x14ac:dyDescent="0.4"/>
    <row r="636" ht="40.200000000000003" customHeight="1" x14ac:dyDescent="0.4"/>
    <row r="637" ht="40.200000000000003" customHeight="1" x14ac:dyDescent="0.4"/>
    <row r="638" ht="40.200000000000003" customHeight="1" x14ac:dyDescent="0.4"/>
    <row r="639" ht="40.200000000000003" customHeight="1" x14ac:dyDescent="0.4"/>
    <row r="640" ht="40.200000000000003" customHeight="1" x14ac:dyDescent="0.4"/>
    <row r="641" ht="40.200000000000003" customHeight="1" x14ac:dyDescent="0.4"/>
    <row r="642" ht="40.200000000000003" customHeight="1" x14ac:dyDescent="0.4"/>
    <row r="643" ht="40.200000000000003" customHeight="1" x14ac:dyDescent="0.4"/>
    <row r="644" ht="40.200000000000003" customHeight="1" x14ac:dyDescent="0.4"/>
    <row r="645" ht="40.200000000000003" customHeight="1" x14ac:dyDescent="0.4"/>
    <row r="646" ht="40.200000000000003" customHeight="1" x14ac:dyDescent="0.4"/>
    <row r="647" ht="40.200000000000003" customHeight="1" x14ac:dyDescent="0.4"/>
    <row r="648" ht="40.200000000000003" customHeight="1" x14ac:dyDescent="0.4"/>
    <row r="649" ht="40.200000000000003" customHeight="1" x14ac:dyDescent="0.4"/>
    <row r="650" ht="40.200000000000003" customHeight="1" x14ac:dyDescent="0.4"/>
    <row r="651" ht="40.200000000000003" customHeight="1" x14ac:dyDescent="0.4"/>
    <row r="652" ht="40.200000000000003" customHeight="1" x14ac:dyDescent="0.4"/>
    <row r="653" ht="40.200000000000003" customHeight="1" x14ac:dyDescent="0.4"/>
    <row r="654" ht="40.200000000000003" customHeight="1" x14ac:dyDescent="0.4"/>
    <row r="655" ht="40.200000000000003" customHeight="1" x14ac:dyDescent="0.4"/>
    <row r="656" ht="40.200000000000003" customHeight="1" x14ac:dyDescent="0.4"/>
    <row r="657" ht="40.200000000000003" customHeight="1" x14ac:dyDescent="0.4"/>
    <row r="658" ht="40.200000000000003" customHeight="1" x14ac:dyDescent="0.4"/>
    <row r="659" ht="40.200000000000003" customHeight="1" x14ac:dyDescent="0.4"/>
    <row r="660" ht="40.200000000000003" customHeight="1" x14ac:dyDescent="0.4"/>
    <row r="661" ht="40.200000000000003" customHeight="1" x14ac:dyDescent="0.4"/>
    <row r="662" ht="40.200000000000003" customHeight="1" x14ac:dyDescent="0.4"/>
    <row r="663" ht="40.200000000000003" customHeight="1" x14ac:dyDescent="0.4"/>
    <row r="664" ht="40.200000000000003" customHeight="1" x14ac:dyDescent="0.4"/>
    <row r="665" ht="40.200000000000003" customHeight="1" x14ac:dyDescent="0.4"/>
    <row r="666" ht="40.200000000000003" customHeight="1" x14ac:dyDescent="0.4"/>
    <row r="667" ht="40.200000000000003" customHeight="1" x14ac:dyDescent="0.4"/>
    <row r="668" ht="40.200000000000003" customHeight="1" x14ac:dyDescent="0.4"/>
    <row r="669" ht="40.200000000000003" customHeight="1" x14ac:dyDescent="0.4"/>
    <row r="670" ht="40.200000000000003" customHeight="1" x14ac:dyDescent="0.4"/>
    <row r="671" ht="40.200000000000003" customHeight="1" x14ac:dyDescent="0.4"/>
    <row r="672" ht="40.200000000000003" customHeight="1" x14ac:dyDescent="0.4"/>
    <row r="673" ht="40.200000000000003" customHeight="1" x14ac:dyDescent="0.4"/>
    <row r="674" ht="40.200000000000003" customHeight="1" x14ac:dyDescent="0.4"/>
    <row r="675" ht="40.200000000000003" customHeight="1" x14ac:dyDescent="0.4"/>
    <row r="676" ht="40.200000000000003" customHeight="1" x14ac:dyDescent="0.4"/>
    <row r="677" ht="40.200000000000003" customHeight="1" x14ac:dyDescent="0.4"/>
    <row r="678" ht="40.200000000000003" customHeight="1" x14ac:dyDescent="0.4"/>
    <row r="679" ht="40.200000000000003" customHeight="1" x14ac:dyDescent="0.4"/>
    <row r="680" ht="40.200000000000003" customHeight="1" x14ac:dyDescent="0.4"/>
    <row r="681" ht="40.200000000000003" customHeight="1" x14ac:dyDescent="0.4"/>
    <row r="682" ht="40.200000000000003" customHeight="1" x14ac:dyDescent="0.4"/>
    <row r="683" ht="40.200000000000003" customHeight="1" x14ac:dyDescent="0.4"/>
    <row r="684" ht="40.200000000000003" customHeight="1" x14ac:dyDescent="0.4"/>
    <row r="685" ht="40.200000000000003" customHeight="1" x14ac:dyDescent="0.4"/>
    <row r="686" ht="40.200000000000003" customHeight="1" x14ac:dyDescent="0.4"/>
    <row r="687" ht="40.200000000000003" customHeight="1" x14ac:dyDescent="0.4"/>
    <row r="688" ht="40.200000000000003" customHeight="1" x14ac:dyDescent="0.4"/>
    <row r="689" ht="40.200000000000003" customHeight="1" x14ac:dyDescent="0.4"/>
    <row r="690" ht="40.200000000000003" customHeight="1" x14ac:dyDescent="0.4"/>
    <row r="691" ht="40.200000000000003" customHeight="1" x14ac:dyDescent="0.4"/>
    <row r="692" ht="40.200000000000003" customHeight="1" x14ac:dyDescent="0.4"/>
    <row r="693" ht="40.200000000000003" customHeight="1" x14ac:dyDescent="0.4"/>
    <row r="694" ht="40.200000000000003" customHeight="1" x14ac:dyDescent="0.4"/>
    <row r="695" ht="40.200000000000003" customHeight="1" x14ac:dyDescent="0.4"/>
    <row r="696" ht="40.200000000000003" customHeight="1" x14ac:dyDescent="0.4"/>
    <row r="697" ht="40.200000000000003" customHeight="1" x14ac:dyDescent="0.4"/>
    <row r="698" ht="40.200000000000003" customHeight="1" x14ac:dyDescent="0.4"/>
    <row r="699" ht="40.200000000000003" customHeight="1" x14ac:dyDescent="0.4"/>
    <row r="700" ht="40.200000000000003" customHeight="1" x14ac:dyDescent="0.4"/>
    <row r="701" ht="40.200000000000003" customHeight="1" x14ac:dyDescent="0.4"/>
  </sheetData>
  <autoFilter ref="B5:R574">
    <filterColumn colId="6" showButton="0"/>
    <filterColumn colId="8" showButton="0"/>
    <filterColumn colId="15" showButton="0"/>
  </autoFilter>
  <mergeCells count="28">
    <mergeCell ref="AD7:AE7"/>
    <mergeCell ref="A5:A6"/>
    <mergeCell ref="B5:B6"/>
    <mergeCell ref="C5:C6"/>
    <mergeCell ref="D5:D6"/>
    <mergeCell ref="E5:E6"/>
    <mergeCell ref="W5:W6"/>
    <mergeCell ref="V5:V6"/>
    <mergeCell ref="L5:L6"/>
    <mergeCell ref="M5:M6"/>
    <mergeCell ref="S5:S6"/>
    <mergeCell ref="T5:T6"/>
    <mergeCell ref="U5:U6"/>
    <mergeCell ref="O5:O6"/>
    <mergeCell ref="P5:P6"/>
    <mergeCell ref="Q5:Q6"/>
    <mergeCell ref="R5:R6"/>
    <mergeCell ref="B2:R2"/>
    <mergeCell ref="F5:F6"/>
    <mergeCell ref="G5:G6"/>
    <mergeCell ref="H5:I5"/>
    <mergeCell ref="J5:K5"/>
    <mergeCell ref="N5:N6"/>
    <mergeCell ref="AA5:AA6"/>
    <mergeCell ref="X5:X6"/>
    <mergeCell ref="Y5:Y6"/>
    <mergeCell ref="Z5:Z6"/>
    <mergeCell ref="AB5:AB6"/>
  </mergeCells>
  <phoneticPr fontId="5" type="noConversion"/>
  <printOptions horizontalCentered="1" verticalCentered="1"/>
  <pageMargins left="0.15748031496062992" right="0.15748031496062992" top="0.31496062992125984" bottom="0.31496062992125984" header="0.15748031496062992" footer="0.15748031496062992"/>
  <pageSetup paperSize="9" scale="79" fitToHeight="0" orientation="landscape" r:id="rId1"/>
  <rowBreaks count="3" manualBreakCount="3">
    <brk id="19" max="17" man="1"/>
    <brk id="33" max="17" man="1"/>
    <brk id="47" max="17" man="1"/>
  </rowBreaks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커플러</vt:lpstr>
      <vt:lpstr>철근</vt:lpstr>
      <vt:lpstr>철근!Print_Area</vt:lpstr>
      <vt:lpstr>커플러!Print_Area</vt:lpstr>
      <vt:lpstr>철근!Print_Titles</vt:lpstr>
      <vt:lpstr>커플러!Print_Titles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lastPrinted>2026-07-29T06:55:46Z</cp:lastPrinted>
  <dcterms:created xsi:type="dcterms:W3CDTF">2021-12-03T04:50:22Z</dcterms:created>
  <dcterms:modified xsi:type="dcterms:W3CDTF">2026-07-31T08:06:00Z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C:\이문1 재개발 현장\006. 자재 검수\자재검수 요청서.xlsx</vt:lpwstr>
  </property>
</Properties>
</file>